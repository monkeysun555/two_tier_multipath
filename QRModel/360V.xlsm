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208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yangsun/Desktop/QRModel/"/>
    </mc:Choice>
  </mc:AlternateContent>
  <xr:revisionPtr revIDLastSave="0" documentId="13_ncr:1_{F6424F1A-B065-9E41-93A1-4F3EA545125B}" xr6:coauthVersionLast="40" xr6:coauthVersionMax="40" xr10:uidLastSave="{00000000-0000-0000-0000-000000000000}"/>
  <bookViews>
    <workbookView xWindow="60" yWindow="2480" windowWidth="28800" windowHeight="14580" tabRatio="865" xr2:uid="{00000000-000D-0000-FFFF-FFFF00000000}"/>
  </bookViews>
  <sheets>
    <sheet name="rdoq=0 vs rdoq=1" sheetId="56" r:id="rId1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67" i="56" l="1"/>
  <c r="A66" i="56"/>
  <c r="A65" i="56"/>
  <c r="O61" i="56"/>
  <c r="A57" i="56"/>
  <c r="A56" i="56"/>
  <c r="A55" i="56"/>
  <c r="Q54" i="56"/>
  <c r="Q53" i="56"/>
  <c r="Q4" i="56"/>
  <c r="Q8" i="56"/>
  <c r="Q12" i="56"/>
  <c r="Q16" i="56"/>
  <c r="Q20" i="56"/>
  <c r="Q24" i="56"/>
  <c r="Q28" i="56"/>
  <c r="Q32" i="56"/>
  <c r="Q36" i="56"/>
  <c r="Q40" i="56"/>
  <c r="Q44" i="56"/>
  <c r="Q48" i="56"/>
  <c r="I54" i="56"/>
  <c r="I3" i="56"/>
  <c r="I7" i="56"/>
  <c r="I11" i="56"/>
  <c r="I15" i="56"/>
  <c r="I19" i="56"/>
  <c r="I23" i="56"/>
  <c r="I27" i="56"/>
  <c r="I31" i="56"/>
  <c r="I35" i="56"/>
  <c r="I39" i="56"/>
  <c r="I43" i="56"/>
  <c r="I47" i="56"/>
  <c r="P56" i="56"/>
  <c r="X3" i="56"/>
  <c r="V3" i="56"/>
  <c r="V19" i="56"/>
  <c r="V35" i="56"/>
  <c r="V51" i="56"/>
  <c r="T3" i="56"/>
  <c r="S11" i="56"/>
  <c r="S27" i="56"/>
  <c r="S43" i="56"/>
  <c r="X47" i="56"/>
  <c r="U47" i="56"/>
  <c r="X35" i="56"/>
  <c r="X51" i="56"/>
  <c r="X43" i="56"/>
  <c r="X39" i="56"/>
  <c r="X31" i="56"/>
  <c r="X27" i="56"/>
  <c r="X23" i="56"/>
  <c r="X19" i="56"/>
  <c r="X15" i="56"/>
  <c r="X11" i="56"/>
  <c r="X7" i="56"/>
  <c r="I24" i="56"/>
  <c r="I44" i="56"/>
  <c r="P59" i="56"/>
  <c r="P55" i="56"/>
  <c r="V7" i="56"/>
  <c r="V23" i="56"/>
  <c r="S15" i="56"/>
  <c r="S47" i="56"/>
  <c r="W35" i="56"/>
  <c r="W43" i="56"/>
  <c r="W31" i="56"/>
  <c r="W23" i="56"/>
  <c r="W15" i="56"/>
  <c r="W7" i="56"/>
  <c r="Q3" i="56"/>
  <c r="Q31" i="56"/>
  <c r="Q43" i="56"/>
  <c r="I6" i="56"/>
  <c r="I18" i="56"/>
  <c r="I30" i="56"/>
  <c r="I42" i="56"/>
  <c r="H60" i="56"/>
  <c r="V31" i="56"/>
  <c r="S7" i="56"/>
  <c r="T39" i="56"/>
  <c r="T23" i="56"/>
  <c r="T11" i="56"/>
  <c r="Q52" i="56"/>
  <c r="Q5" i="56"/>
  <c r="Q9" i="56"/>
  <c r="Q13" i="56"/>
  <c r="Q17" i="56"/>
  <c r="Q21" i="56"/>
  <c r="Q25" i="56"/>
  <c r="Q29" i="56"/>
  <c r="Q33" i="56"/>
  <c r="Q37" i="56"/>
  <c r="Q41" i="56"/>
  <c r="Q45" i="56"/>
  <c r="Q49" i="56"/>
  <c r="I53" i="56"/>
  <c r="I4" i="56"/>
  <c r="I8" i="56"/>
  <c r="I12" i="56"/>
  <c r="I16" i="56"/>
  <c r="I20" i="56"/>
  <c r="I28" i="56"/>
  <c r="I32" i="56"/>
  <c r="I36" i="56"/>
  <c r="I40" i="56"/>
  <c r="I48" i="56"/>
  <c r="P57" i="56"/>
  <c r="H56" i="56"/>
  <c r="V39" i="56"/>
  <c r="S31" i="56"/>
  <c r="T47" i="56"/>
  <c r="T35" i="56"/>
  <c r="W51" i="56"/>
  <c r="W39" i="56"/>
  <c r="W27" i="56"/>
  <c r="W19" i="56"/>
  <c r="W11" i="56"/>
  <c r="U7" i="56"/>
  <c r="Q11" i="56"/>
  <c r="Q15" i="56"/>
  <c r="Q23" i="56"/>
  <c r="Q35" i="56"/>
  <c r="Q47" i="56"/>
  <c r="I51" i="56"/>
  <c r="I14" i="56"/>
  <c r="I26" i="56"/>
  <c r="I38" i="56"/>
  <c r="I50" i="56"/>
  <c r="V15" i="56"/>
  <c r="S23" i="56"/>
  <c r="T43" i="56"/>
  <c r="T27" i="56"/>
  <c r="T19" i="56"/>
  <c r="T7" i="56"/>
  <c r="Q51" i="56"/>
  <c r="Q6" i="56"/>
  <c r="Q10" i="56"/>
  <c r="Q14" i="56"/>
  <c r="Q18" i="56"/>
  <c r="Q22" i="56"/>
  <c r="Q26" i="56"/>
  <c r="Q30" i="56"/>
  <c r="Q34" i="56"/>
  <c r="Q38" i="56"/>
  <c r="Q42" i="56"/>
  <c r="Q46" i="56"/>
  <c r="Q50" i="56"/>
  <c r="Q57" i="56" s="1"/>
  <c r="I52" i="56"/>
  <c r="I5" i="56"/>
  <c r="I9" i="56"/>
  <c r="I13" i="56"/>
  <c r="I17" i="56"/>
  <c r="I21" i="56"/>
  <c r="I25" i="56"/>
  <c r="I29" i="56"/>
  <c r="I33" i="56"/>
  <c r="I37" i="56"/>
  <c r="I41" i="56"/>
  <c r="I45" i="56"/>
  <c r="I49" i="56"/>
  <c r="H59" i="56"/>
  <c r="H57" i="56"/>
  <c r="H55" i="56"/>
  <c r="P60" i="56"/>
  <c r="W3" i="56"/>
  <c r="V11" i="56"/>
  <c r="V27" i="56"/>
  <c r="V43" i="56"/>
  <c r="U3" i="56"/>
  <c r="S3" i="56"/>
  <c r="S19" i="56"/>
  <c r="S35" i="56"/>
  <c r="S51" i="56"/>
  <c r="W47" i="56"/>
  <c r="U51" i="56"/>
  <c r="U43" i="56"/>
  <c r="U39" i="56"/>
  <c r="U31" i="56"/>
  <c r="U27" i="56"/>
  <c r="U23" i="56"/>
  <c r="U19" i="56"/>
  <c r="U15" i="56"/>
  <c r="U11" i="56"/>
  <c r="Q7" i="56"/>
  <c r="Q19" i="56"/>
  <c r="Q27" i="56"/>
  <c r="Q55" i="56" s="1"/>
  <c r="Q39" i="56"/>
  <c r="Q56" i="56" s="1"/>
  <c r="Q59" i="56"/>
  <c r="I10" i="56"/>
  <c r="I22" i="56"/>
  <c r="I34" i="56"/>
  <c r="I55" i="56" s="1"/>
  <c r="I46" i="56"/>
  <c r="I56" i="56" s="1"/>
  <c r="V47" i="56"/>
  <c r="S39" i="56"/>
  <c r="U35" i="56"/>
  <c r="T51" i="56"/>
  <c r="T31" i="56"/>
  <c r="T15" i="56"/>
  <c r="I57" i="56"/>
  <c r="I59" i="56"/>
  <c r="U56" i="56" l="1"/>
  <c r="V57" i="56"/>
  <c r="C68" i="56"/>
  <c r="C66" i="56"/>
  <c r="C65" i="56"/>
  <c r="W57" i="56"/>
  <c r="S56" i="56"/>
  <c r="S58" i="56"/>
  <c r="S55" i="56"/>
  <c r="U55" i="56"/>
  <c r="U58" i="56"/>
  <c r="W55" i="56"/>
  <c r="W58" i="56"/>
  <c r="C67" i="56"/>
  <c r="T56" i="56"/>
  <c r="T57" i="56"/>
  <c r="B67" i="56"/>
  <c r="Q60" i="56"/>
  <c r="W56" i="56"/>
  <c r="S57" i="56"/>
  <c r="B65" i="56"/>
  <c r="B68" i="56"/>
  <c r="X56" i="56"/>
  <c r="U57" i="56"/>
  <c r="X57" i="56"/>
  <c r="T55" i="56"/>
  <c r="T58" i="56"/>
  <c r="V56" i="56"/>
  <c r="V58" i="56"/>
  <c r="V55" i="56"/>
  <c r="X55" i="56"/>
  <c r="X58" i="56"/>
  <c r="B66" i="56"/>
  <c r="I60" i="56"/>
</calcChain>
</file>

<file path=xl/sharedStrings.xml><?xml version="1.0" encoding="utf-8"?>
<sst xmlns="http://schemas.openxmlformats.org/spreadsheetml/2006/main" count="51" uniqueCount="35">
  <si>
    <t>QPISlice</t>
  </si>
  <si>
    <t>All</t>
  </si>
  <si>
    <t>Time geomean</t>
  </si>
  <si>
    <t>Time sum (hours)</t>
  </si>
  <si>
    <t>kbps</t>
  </si>
  <si>
    <t>Enc T [s]</t>
  </si>
  <si>
    <t>Dec T [s]</t>
  </si>
  <si>
    <t>Enc T [h]</t>
  </si>
  <si>
    <t>BD-rate (piecewise cubic)</t>
  </si>
  <si>
    <t>BD-rate (cubic)</t>
  </si>
  <si>
    <t>Time Ratio</t>
  </si>
  <si>
    <t>Decoding</t>
  </si>
  <si>
    <t>Encoding</t>
  </si>
  <si>
    <t>MSE PSNR (tested)</t>
  </si>
  <si>
    <t>MSE PSNR (anchor)</t>
  </si>
  <si>
    <t>G/Y</t>
  </si>
  <si>
    <t>B/U</t>
  </si>
  <si>
    <t>R/V</t>
  </si>
  <si>
    <t>G/Y psnr</t>
  </si>
  <si>
    <t>B/U psnr</t>
  </si>
  <si>
    <t>R/V psnr</t>
  </si>
  <si>
    <t xml:space="preserve">R/V </t>
  </si>
  <si>
    <t>Viewport</t>
  </si>
  <si>
    <t>Trolley - Front</t>
  </si>
  <si>
    <t>Trolley - Back</t>
  </si>
  <si>
    <t>Trolley - Top</t>
  </si>
  <si>
    <t>Trolley - Bottom</t>
  </si>
  <si>
    <t>Trolley - Left</t>
  </si>
  <si>
    <t>Trolley - Right</t>
  </si>
  <si>
    <t>Chairlift - Front</t>
  </si>
  <si>
    <t>Chairlift - Back</t>
  </si>
  <si>
    <t>Chairlift - Top</t>
  </si>
  <si>
    <t>Chairlift - Bottom</t>
  </si>
  <si>
    <t>Chairlift - Left</t>
  </si>
  <si>
    <t>Chairlift - Right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</si>
</sst>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"/>
    <numFmt numFmtId="165" formatCode="0.0%"/>
  </numFmts>
  <fonts count="4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9"/>
      <color rgb="FF222222"/>
      <name val="Arial"/>
      <family val="2"/>
    </font>
    <font>
      <sz val="9"/>
      <color rgb="FF00000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D5B4"/>
        <bgColor indexed="64"/>
      </patternFill>
    </fill>
  </fills>
  <borders count="3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563">
    <xf numFmtId="0" fontId="0" fillId="0" borderId="0"/>
    <xf numFmtId="0" fontId="15" fillId="0" borderId="0"/>
    <xf numFmtId="0" fontId="16" fillId="0" borderId="0"/>
    <xf numFmtId="0" fontId="11" fillId="0" borderId="0"/>
    <xf numFmtId="0" fontId="17" fillId="0" borderId="0"/>
    <xf numFmtId="9" fontId="17" fillId="0" borderId="0" applyFont="0" applyFill="0" applyBorder="0" applyAlignment="0" applyProtection="0"/>
    <xf numFmtId="0" fontId="15" fillId="0" borderId="0"/>
    <xf numFmtId="0" fontId="15" fillId="0" borderId="0"/>
    <xf numFmtId="0" fontId="11" fillId="0" borderId="0"/>
    <xf numFmtId="0" fontId="18" fillId="0" borderId="0" applyNumberFormat="0" applyFill="0" applyBorder="0" applyAlignment="0" applyProtection="0"/>
    <xf numFmtId="0" fontId="19" fillId="0" borderId="16" applyNumberFormat="0" applyFill="0" applyAlignment="0" applyProtection="0"/>
    <xf numFmtId="0" fontId="20" fillId="0" borderId="17" applyNumberFormat="0" applyFill="0" applyAlignment="0" applyProtection="0"/>
    <xf numFmtId="0" fontId="21" fillId="0" borderId="18" applyNumberFormat="0" applyFill="0" applyAlignment="0" applyProtection="0"/>
    <xf numFmtId="0" fontId="21" fillId="0" borderId="0" applyNumberFormat="0" applyFill="0" applyBorder="0" applyAlignment="0" applyProtection="0"/>
    <xf numFmtId="0" fontId="22" fillId="3" borderId="0" applyNumberFormat="0" applyBorder="0" applyAlignment="0" applyProtection="0"/>
    <xf numFmtId="0" fontId="23" fillId="4" borderId="0" applyNumberFormat="0" applyBorder="0" applyAlignment="0" applyProtection="0"/>
    <xf numFmtId="0" fontId="24" fillId="5" borderId="0" applyNumberFormat="0" applyBorder="0" applyAlignment="0" applyProtection="0"/>
    <xf numFmtId="0" fontId="25" fillId="6" borderId="19" applyNumberFormat="0" applyAlignment="0" applyProtection="0"/>
    <xf numFmtId="0" fontId="26" fillId="7" borderId="20" applyNumberFormat="0" applyAlignment="0" applyProtection="0"/>
    <xf numFmtId="0" fontId="27" fillId="7" borderId="19" applyNumberFormat="0" applyAlignment="0" applyProtection="0"/>
    <xf numFmtId="0" fontId="28" fillId="0" borderId="21" applyNumberFormat="0" applyFill="0" applyAlignment="0" applyProtection="0"/>
    <xf numFmtId="0" fontId="29" fillId="8" borderId="22" applyNumberFormat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24" applyNumberFormat="0" applyFill="0" applyAlignment="0" applyProtection="0"/>
    <xf numFmtId="0" fontId="33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33" fillId="21" borderId="0" applyNumberFormat="0" applyBorder="0" applyAlignment="0" applyProtection="0"/>
    <xf numFmtId="0" fontId="33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2" borderId="0" applyNumberFormat="0" applyBorder="0" applyAlignment="0" applyProtection="0"/>
    <xf numFmtId="0" fontId="33" fillId="33" borderId="0" applyNumberFormat="0" applyBorder="0" applyAlignment="0" applyProtection="0"/>
    <xf numFmtId="0" fontId="10" fillId="0" borderId="0"/>
    <xf numFmtId="0" fontId="10" fillId="9" borderId="23" applyNumberFormat="0" applyFont="0" applyAlignment="0" applyProtection="0"/>
    <xf numFmtId="0" fontId="9" fillId="0" borderId="0"/>
    <xf numFmtId="0" fontId="9" fillId="9" borderId="23" applyNumberFormat="0" applyFont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23" applyNumberFormat="0" applyFont="0" applyAlignment="0" applyProtection="0"/>
    <xf numFmtId="0" fontId="8" fillId="0" borderId="0"/>
    <xf numFmtId="0" fontId="8" fillId="9" borderId="23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7" fillId="0" borderId="0"/>
    <xf numFmtId="0" fontId="7" fillId="0" borderId="0"/>
    <xf numFmtId="0" fontId="7" fillId="0" borderId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0" borderId="0"/>
    <xf numFmtId="0" fontId="7" fillId="9" borderId="23" applyNumberFormat="0" applyFont="0" applyAlignment="0" applyProtection="0"/>
    <xf numFmtId="0" fontId="7" fillId="0" borderId="0"/>
    <xf numFmtId="0" fontId="7" fillId="9" borderId="23" applyNumberFormat="0" applyFont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0" borderId="0"/>
    <xf numFmtId="0" fontId="6" fillId="0" borderId="0"/>
    <xf numFmtId="0" fontId="6" fillId="9" borderId="23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0" borderId="0"/>
    <xf numFmtId="0" fontId="5" fillId="9" borderId="23" applyNumberFormat="0" applyFont="0" applyAlignment="0" applyProtection="0"/>
    <xf numFmtId="0" fontId="5" fillId="0" borderId="0"/>
    <xf numFmtId="0" fontId="5" fillId="9" borderId="23" applyNumberFormat="0" applyFont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0" borderId="0"/>
    <xf numFmtId="0" fontId="4" fillId="0" borderId="0"/>
    <xf numFmtId="0" fontId="4" fillId="9" borderId="23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23" applyNumberFormat="0" applyFont="0" applyAlignment="0" applyProtection="0"/>
    <xf numFmtId="0" fontId="3" fillId="0" borderId="0"/>
    <xf numFmtId="0" fontId="3" fillId="0" borderId="0"/>
    <xf numFmtId="0" fontId="3" fillId="0" borderId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23" applyNumberFormat="0" applyFont="0" applyAlignment="0" applyProtection="0"/>
    <xf numFmtId="0" fontId="3" fillId="0" borderId="0"/>
    <xf numFmtId="0" fontId="3" fillId="9" borderId="23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9" borderId="23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23" applyNumberFormat="0" applyFont="0" applyAlignment="0" applyProtection="0"/>
    <xf numFmtId="0" fontId="3" fillId="0" borderId="0"/>
    <xf numFmtId="0" fontId="3" fillId="9" borderId="23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23" applyNumberFormat="0" applyFont="0" applyAlignment="0" applyProtection="0"/>
    <xf numFmtId="0" fontId="3" fillId="0" borderId="0"/>
    <xf numFmtId="0" fontId="3" fillId="9" borderId="23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9" borderId="23" applyNumberFormat="0" applyFont="0" applyAlignment="0" applyProtection="0"/>
    <xf numFmtId="0" fontId="3" fillId="0" borderId="0"/>
    <xf numFmtId="0" fontId="3" fillId="9" borderId="23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23" applyNumberFormat="0" applyFont="0" applyAlignment="0" applyProtection="0"/>
    <xf numFmtId="0" fontId="3" fillId="0" borderId="0"/>
    <xf numFmtId="0" fontId="3" fillId="9" borderId="23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23" applyNumberFormat="0" applyFont="0" applyAlignment="0" applyProtection="0"/>
    <xf numFmtId="0" fontId="3" fillId="0" borderId="0"/>
    <xf numFmtId="0" fontId="3" fillId="9" borderId="23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23" applyNumberFormat="0" applyFont="0" applyAlignment="0" applyProtection="0"/>
    <xf numFmtId="0" fontId="3" fillId="0" borderId="0"/>
    <xf numFmtId="0" fontId="3" fillId="9" borderId="23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23" applyNumberFormat="0" applyFont="0" applyAlignment="0" applyProtection="0"/>
    <xf numFmtId="0" fontId="3" fillId="0" borderId="0"/>
    <xf numFmtId="0" fontId="3" fillId="9" borderId="23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0" borderId="0"/>
    <xf numFmtId="0" fontId="3" fillId="9" borderId="23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23" applyNumberFormat="0" applyFont="0" applyAlignment="0" applyProtection="0"/>
    <xf numFmtId="0" fontId="3" fillId="0" borderId="0"/>
    <xf numFmtId="0" fontId="3" fillId="9" borderId="23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9" borderId="23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9" borderId="23" applyNumberFormat="0" applyFont="0" applyAlignment="0" applyProtection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9" borderId="23" applyNumberFormat="0" applyFont="0" applyAlignment="0" applyProtection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9" borderId="23" applyNumberFormat="0" applyFont="0" applyAlignment="0" applyProtection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9" borderId="23" applyNumberFormat="0" applyFont="0" applyAlignment="0" applyProtection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9" borderId="23" applyNumberFormat="0" applyFont="0" applyAlignment="0" applyProtection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9" borderId="23" applyNumberFormat="0" applyFont="0" applyAlignment="0" applyProtection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9" borderId="23" applyNumberFormat="0" applyFont="0" applyAlignment="0" applyProtection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9" borderId="23" applyNumberFormat="0" applyFont="0" applyAlignment="0" applyProtection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9" borderId="23" applyNumberFormat="0" applyFont="0" applyAlignment="0" applyProtection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9" borderId="23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28" borderId="0" applyNumberFormat="0" applyBorder="0" applyAlignment="0" applyProtection="0"/>
    <xf numFmtId="0" fontId="1" fillId="23" borderId="0" applyNumberFormat="0" applyBorder="0" applyAlignment="0" applyProtection="0"/>
    <xf numFmtId="0" fontId="1" fillId="0" borderId="0"/>
    <xf numFmtId="0" fontId="1" fillId="12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16" borderId="0" applyNumberFormat="0" applyBorder="0" applyAlignment="0" applyProtection="0"/>
    <xf numFmtId="0" fontId="1" fillId="24" borderId="0" applyNumberFormat="0" applyBorder="0" applyAlignment="0" applyProtection="0"/>
    <xf numFmtId="0" fontId="1" fillId="0" borderId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7" borderId="0" applyNumberFormat="0" applyBorder="0" applyAlignment="0" applyProtection="0"/>
    <xf numFmtId="0" fontId="1" fillId="1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23" applyNumberFormat="0" applyFont="0" applyAlignment="0" applyProtection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1" fillId="9" borderId="23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</cellStyleXfs>
  <cellXfs count="117">
    <xf numFmtId="0" fontId="0" fillId="0" borderId="0" xfId="0"/>
    <xf numFmtId="2" fontId="12" fillId="0" borderId="0" xfId="0" applyNumberFormat="1" applyFont="1"/>
    <xf numFmtId="0" fontId="12" fillId="0" borderId="9" xfId="0" applyFont="1" applyBorder="1"/>
    <xf numFmtId="0" fontId="12" fillId="0" borderId="0" xfId="0" applyFont="1" applyBorder="1"/>
    <xf numFmtId="0" fontId="12" fillId="0" borderId="13" xfId="0" applyFont="1" applyBorder="1"/>
    <xf numFmtId="165" fontId="12" fillId="0" borderId="0" xfId="0" applyNumberFormat="1" applyFont="1" applyBorder="1" applyAlignment="1">
      <alignment horizontal="center"/>
    </xf>
    <xf numFmtId="0" fontId="12" fillId="0" borderId="15" xfId="0" applyFont="1" applyBorder="1"/>
    <xf numFmtId="0" fontId="12" fillId="0" borderId="7" xfId="0" applyFont="1" applyBorder="1"/>
    <xf numFmtId="0" fontId="12" fillId="0" borderId="10" xfId="0" applyFont="1" applyBorder="1"/>
    <xf numFmtId="0" fontId="12" fillId="0" borderId="0" xfId="0" applyFont="1"/>
    <xf numFmtId="0" fontId="12" fillId="0" borderId="4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164" fontId="12" fillId="2" borderId="0" xfId="0" applyNumberFormat="1" applyFont="1" applyFill="1" applyBorder="1" applyAlignment="1"/>
    <xf numFmtId="164" fontId="12" fillId="2" borderId="25" xfId="0" applyNumberFormat="1" applyFont="1" applyFill="1" applyBorder="1" applyAlignment="1"/>
    <xf numFmtId="2" fontId="12" fillId="0" borderId="6" xfId="0" applyNumberFormat="1" applyFont="1" applyBorder="1" applyAlignment="1">
      <alignment horizontal="center"/>
    </xf>
    <xf numFmtId="0" fontId="12" fillId="0" borderId="6" xfId="0" applyFont="1" applyBorder="1"/>
    <xf numFmtId="164" fontId="12" fillId="2" borderId="26" xfId="0" applyNumberFormat="1" applyFont="1" applyFill="1" applyBorder="1" applyAlignment="1"/>
    <xf numFmtId="164" fontId="12" fillId="2" borderId="13" xfId="0" applyNumberFormat="1" applyFont="1" applyFill="1" applyBorder="1" applyAlignment="1"/>
    <xf numFmtId="0" fontId="12" fillId="0" borderId="3" xfId="0" applyFont="1" applyBorder="1" applyAlignment="1"/>
    <xf numFmtId="0" fontId="12" fillId="0" borderId="7" xfId="0" applyFont="1" applyBorder="1" applyAlignment="1"/>
    <xf numFmtId="0" fontId="14" fillId="0" borderId="7" xfId="0" applyFont="1" applyBorder="1" applyAlignment="1"/>
    <xf numFmtId="0" fontId="14" fillId="0" borderId="28" xfId="0" applyFont="1" applyBorder="1" applyAlignment="1"/>
    <xf numFmtId="0" fontId="12" fillId="0" borderId="10" xfId="0" applyFont="1" applyBorder="1" applyAlignment="1"/>
    <xf numFmtId="164" fontId="12" fillId="2" borderId="6" xfId="0" applyNumberFormat="1" applyFont="1" applyFill="1" applyBorder="1" applyAlignment="1"/>
    <xf numFmtId="2" fontId="12" fillId="34" borderId="8" xfId="0" applyNumberFormat="1" applyFont="1" applyFill="1" applyBorder="1"/>
    <xf numFmtId="2" fontId="12" fillId="34" borderId="11" xfId="0" applyNumberFormat="1" applyFont="1" applyFill="1" applyBorder="1"/>
    <xf numFmtId="2" fontId="12" fillId="34" borderId="7" xfId="0" applyNumberFormat="1" applyFont="1" applyFill="1" applyBorder="1"/>
    <xf numFmtId="2" fontId="12" fillId="34" borderId="10" xfId="0" applyNumberFormat="1" applyFont="1" applyFill="1" applyBorder="1"/>
    <xf numFmtId="2" fontId="12" fillId="34" borderId="3" xfId="0" applyNumberFormat="1" applyFont="1" applyFill="1" applyBorder="1"/>
    <xf numFmtId="2" fontId="12" fillId="34" borderId="5" xfId="0" applyNumberFormat="1" applyFont="1" applyFill="1" applyBorder="1"/>
    <xf numFmtId="0" fontId="12" fillId="0" borderId="1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2" fontId="12" fillId="34" borderId="4" xfId="0" applyNumberFormat="1" applyFont="1" applyFill="1" applyBorder="1"/>
    <xf numFmtId="2" fontId="12" fillId="34" borderId="9" xfId="0" applyNumberFormat="1" applyFont="1" applyFill="1" applyBorder="1"/>
    <xf numFmtId="2" fontId="12" fillId="34" borderId="12" xfId="0" applyNumberFormat="1" applyFont="1" applyFill="1" applyBorder="1"/>
    <xf numFmtId="0" fontId="14" fillId="0" borderId="3" xfId="0" applyFont="1" applyBorder="1" applyAlignment="1"/>
    <xf numFmtId="0" fontId="12" fillId="0" borderId="3" xfId="0" applyFont="1" applyBorder="1" applyAlignment="1">
      <alignment horizontal="center"/>
    </xf>
    <xf numFmtId="1" fontId="12" fillId="0" borderId="3" xfId="0" applyNumberFormat="1" applyFont="1" applyBorder="1"/>
    <xf numFmtId="1" fontId="12" fillId="0" borderId="7" xfId="0" applyNumberFormat="1" applyFont="1" applyBorder="1"/>
    <xf numFmtId="164" fontId="12" fillId="36" borderId="3" xfId="0" applyNumberFormat="1" applyFont="1" applyFill="1" applyBorder="1" applyAlignment="1"/>
    <xf numFmtId="164" fontId="12" fillId="36" borderId="7" xfId="0" applyNumberFormat="1" applyFont="1" applyFill="1" applyBorder="1" applyAlignment="1"/>
    <xf numFmtId="164" fontId="12" fillId="36" borderId="28" xfId="0" applyNumberFormat="1" applyFont="1" applyFill="1" applyBorder="1" applyAlignment="1"/>
    <xf numFmtId="164" fontId="12" fillId="36" borderId="10" xfId="0" applyNumberFormat="1" applyFont="1" applyFill="1" applyBorder="1" applyAlignment="1"/>
    <xf numFmtId="10" fontId="12" fillId="34" borderId="3" xfId="0" applyNumberFormat="1" applyFont="1" applyFill="1" applyBorder="1"/>
    <xf numFmtId="10" fontId="12" fillId="34" borderId="5" xfId="0" applyNumberFormat="1" applyFont="1" applyFill="1" applyBorder="1"/>
    <xf numFmtId="10" fontId="12" fillId="34" borderId="7" xfId="0" applyNumberFormat="1" applyFont="1" applyFill="1" applyBorder="1"/>
    <xf numFmtId="10" fontId="12" fillId="34" borderId="8" xfId="0" applyNumberFormat="1" applyFont="1" applyFill="1" applyBorder="1"/>
    <xf numFmtId="10" fontId="12" fillId="34" borderId="28" xfId="0" applyNumberFormat="1" applyFont="1" applyFill="1" applyBorder="1"/>
    <xf numFmtId="10" fontId="12" fillId="34" borderId="32" xfId="0" applyNumberFormat="1" applyFont="1" applyFill="1" applyBorder="1"/>
    <xf numFmtId="10" fontId="12" fillId="34" borderId="27" xfId="0" applyNumberFormat="1" applyFont="1" applyFill="1" applyBorder="1"/>
    <xf numFmtId="10" fontId="12" fillId="34" borderId="34" xfId="0" applyNumberFormat="1" applyFont="1" applyFill="1" applyBorder="1"/>
    <xf numFmtId="10" fontId="12" fillId="34" borderId="10" xfId="0" applyNumberFormat="1" applyFont="1" applyFill="1" applyBorder="1"/>
    <xf numFmtId="10" fontId="12" fillId="34" borderId="11" xfId="0" applyNumberFormat="1" applyFont="1" applyFill="1" applyBorder="1"/>
    <xf numFmtId="10" fontId="12" fillId="36" borderId="8" xfId="0" applyNumberFormat="1" applyFont="1" applyFill="1" applyBorder="1"/>
    <xf numFmtId="164" fontId="12" fillId="35" borderId="6" xfId="0" applyNumberFormat="1" applyFont="1" applyFill="1" applyBorder="1" applyAlignment="1"/>
    <xf numFmtId="2" fontId="12" fillId="35" borderId="6" xfId="0" applyNumberFormat="1" applyFont="1" applyFill="1" applyBorder="1" applyAlignment="1"/>
    <xf numFmtId="164" fontId="12" fillId="35" borderId="0" xfId="0" applyNumberFormat="1" applyFont="1" applyFill="1" applyBorder="1" applyAlignment="1"/>
    <xf numFmtId="2" fontId="12" fillId="35" borderId="0" xfId="0" applyNumberFormat="1" applyFont="1" applyFill="1" applyBorder="1" applyAlignment="1"/>
    <xf numFmtId="164" fontId="12" fillId="35" borderId="25" xfId="0" applyNumberFormat="1" applyFont="1" applyFill="1" applyBorder="1" applyAlignment="1"/>
    <xf numFmtId="2" fontId="12" fillId="35" borderId="25" xfId="0" applyNumberFormat="1" applyFont="1" applyFill="1" applyBorder="1" applyAlignment="1"/>
    <xf numFmtId="164" fontId="12" fillId="35" borderId="26" xfId="0" applyNumberFormat="1" applyFont="1" applyFill="1" applyBorder="1" applyAlignment="1"/>
    <xf numFmtId="2" fontId="12" fillId="35" borderId="26" xfId="0" applyNumberFormat="1" applyFont="1" applyFill="1" applyBorder="1" applyAlignment="1"/>
    <xf numFmtId="164" fontId="12" fillId="35" borderId="13" xfId="0" applyNumberFormat="1" applyFont="1" applyFill="1" applyBorder="1" applyAlignment="1"/>
    <xf numFmtId="2" fontId="12" fillId="35" borderId="13" xfId="0" applyNumberFormat="1" applyFont="1" applyFill="1" applyBorder="1" applyAlignment="1"/>
    <xf numFmtId="2" fontId="37" fillId="35" borderId="4" xfId="0" applyNumberFormat="1" applyFont="1" applyFill="1" applyBorder="1"/>
    <xf numFmtId="2" fontId="37" fillId="35" borderId="6" xfId="0" applyNumberFormat="1" applyFont="1" applyFill="1" applyBorder="1"/>
    <xf numFmtId="2" fontId="37" fillId="35" borderId="9" xfId="0" applyNumberFormat="1" applyFont="1" applyFill="1" applyBorder="1"/>
    <xf numFmtId="2" fontId="37" fillId="35" borderId="0" xfId="0" applyNumberFormat="1" applyFont="1" applyFill="1" applyBorder="1"/>
    <xf numFmtId="2" fontId="37" fillId="35" borderId="31" xfId="0" applyNumberFormat="1" applyFont="1" applyFill="1" applyBorder="1"/>
    <xf numFmtId="2" fontId="37" fillId="35" borderId="25" xfId="0" applyNumberFormat="1" applyFont="1" applyFill="1" applyBorder="1"/>
    <xf numFmtId="2" fontId="37" fillId="35" borderId="33" xfId="0" applyNumberFormat="1" applyFont="1" applyFill="1" applyBorder="1"/>
    <xf numFmtId="2" fontId="37" fillId="35" borderId="26" xfId="0" applyNumberFormat="1" applyFont="1" applyFill="1" applyBorder="1"/>
    <xf numFmtId="2" fontId="37" fillId="35" borderId="12" xfId="0" applyNumberFormat="1" applyFont="1" applyFill="1" applyBorder="1"/>
    <xf numFmtId="2" fontId="37" fillId="35" borderId="13" xfId="0" applyNumberFormat="1" applyFont="1" applyFill="1" applyBorder="1"/>
    <xf numFmtId="2" fontId="37" fillId="35" borderId="5" xfId="0" applyNumberFormat="1" applyFont="1" applyFill="1" applyBorder="1"/>
    <xf numFmtId="2" fontId="37" fillId="35" borderId="8" xfId="0" applyNumberFormat="1" applyFont="1" applyFill="1" applyBorder="1"/>
    <xf numFmtId="2" fontId="37" fillId="35" borderId="32" xfId="0" applyNumberFormat="1" applyFont="1" applyFill="1" applyBorder="1"/>
    <xf numFmtId="0" fontId="37" fillId="35" borderId="34" xfId="0" applyFont="1" applyFill="1" applyBorder="1"/>
    <xf numFmtId="0" fontId="37" fillId="35" borderId="8" xfId="0" applyFont="1" applyFill="1" applyBorder="1"/>
    <xf numFmtId="2" fontId="37" fillId="35" borderId="11" xfId="0" applyNumberFormat="1" applyFont="1" applyFill="1" applyBorder="1"/>
    <xf numFmtId="2" fontId="37" fillId="35" borderId="34" xfId="0" applyNumberFormat="1" applyFont="1" applyFill="1" applyBorder="1"/>
    <xf numFmtId="0" fontId="12" fillId="0" borderId="0" xfId="0" applyFont="1" applyBorder="1" applyAlignment="1">
      <alignment horizontal="center"/>
    </xf>
    <xf numFmtId="164" fontId="12" fillId="2" borderId="4" xfId="0" applyNumberFormat="1" applyFont="1" applyFill="1" applyBorder="1" applyAlignment="1"/>
    <xf numFmtId="164" fontId="12" fillId="2" borderId="5" xfId="0" applyNumberFormat="1" applyFont="1" applyFill="1" applyBorder="1" applyAlignment="1"/>
    <xf numFmtId="164" fontId="12" fillId="2" borderId="9" xfId="0" applyNumberFormat="1" applyFont="1" applyFill="1" applyBorder="1" applyAlignment="1"/>
    <xf numFmtId="164" fontId="12" fillId="2" borderId="8" xfId="0" applyNumberFormat="1" applyFont="1" applyFill="1" applyBorder="1" applyAlignment="1"/>
    <xf numFmtId="164" fontId="12" fillId="2" borderId="12" xfId="0" applyNumberFormat="1" applyFont="1" applyFill="1" applyBorder="1" applyAlignment="1"/>
    <xf numFmtId="164" fontId="12" fillId="2" borderId="11" xfId="0" applyNumberFormat="1" applyFont="1" applyFill="1" applyBorder="1" applyAlignment="1"/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37" fillId="0" borderId="3" xfId="0" applyFont="1" applyBorder="1"/>
    <xf numFmtId="0" fontId="37" fillId="0" borderId="7" xfId="0" applyFont="1" applyBorder="1"/>
    <xf numFmtId="0" fontId="36" fillId="0" borderId="7" xfId="0" applyFont="1" applyBorder="1"/>
    <xf numFmtId="0" fontId="36" fillId="0" borderId="28" xfId="0" applyFont="1" applyBorder="1"/>
    <xf numFmtId="0" fontId="14" fillId="0" borderId="28" xfId="0" applyFont="1" applyBorder="1"/>
    <xf numFmtId="0" fontId="14" fillId="0" borderId="7" xfId="0" applyFont="1" applyBorder="1"/>
    <xf numFmtId="0" fontId="14" fillId="0" borderId="10" xfId="0" applyFont="1" applyBorder="1"/>
    <xf numFmtId="0" fontId="39" fillId="0" borderId="0" xfId="0" applyFont="1" applyBorder="1"/>
    <xf numFmtId="0" fontId="37" fillId="0" borderId="5" xfId="0" applyFont="1" applyBorder="1" applyAlignment="1">
      <alignment horizontal="center"/>
    </xf>
    <xf numFmtId="0" fontId="37" fillId="0" borderId="8" xfId="0" applyFont="1" applyBorder="1" applyAlignment="1">
      <alignment horizontal="center"/>
    </xf>
    <xf numFmtId="0" fontId="37" fillId="0" borderId="34" xfId="0" applyFont="1" applyBorder="1" applyAlignment="1">
      <alignment horizontal="center"/>
    </xf>
    <xf numFmtId="0" fontId="37" fillId="0" borderId="32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0" xfId="0" applyFont="1" applyAlignment="1">
      <alignment horizontal="center"/>
    </xf>
    <xf numFmtId="2" fontId="12" fillId="34" borderId="5" xfId="0" applyNumberFormat="1" applyFont="1" applyFill="1" applyBorder="1" applyAlignment="1">
      <alignment horizontal="center"/>
    </xf>
    <xf numFmtId="2" fontId="12" fillId="34" borderId="8" xfId="0" applyNumberFormat="1" applyFont="1" applyFill="1" applyBorder="1" applyAlignment="1">
      <alignment horizontal="center"/>
    </xf>
    <xf numFmtId="2" fontId="12" fillId="34" borderId="1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38" fillId="0" borderId="13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12" fillId="0" borderId="29" xfId="0" applyFont="1" applyBorder="1" applyAlignment="1">
      <alignment horizontal="center"/>
    </xf>
    <xf numFmtId="0" fontId="12" fillId="0" borderId="30" xfId="0" applyFont="1" applyBorder="1" applyAlignment="1">
      <alignment horizontal="center"/>
    </xf>
    <xf numFmtId="0" fontId="13" fillId="0" borderId="0" xfId="0" applyFont="1" applyBorder="1" applyAlignment="1">
      <alignment horizontal="center"/>
    </xf>
  </cellXfs>
  <cellStyles count="1563">
    <cellStyle name="20% - Accent1" xfId="26" builtinId="30" customBuiltin="1"/>
    <cellStyle name="20% - Accent1 10" xfId="818" xr:uid="{00000000-0005-0000-0000-000001000000}"/>
    <cellStyle name="20% - Accent1 2" xfId="53" xr:uid="{00000000-0005-0000-0000-000002000000}"/>
    <cellStyle name="20% - Accent1 2 2" xfId="84" xr:uid="{00000000-0005-0000-0000-000003000000}"/>
    <cellStyle name="20% - Accent1 2 2 2" xfId="404" xr:uid="{00000000-0005-0000-0000-000004000000}"/>
    <cellStyle name="20% - Accent1 2 2 2 2" xfId="710" xr:uid="{00000000-0005-0000-0000-000005000000}"/>
    <cellStyle name="20% - Accent1 2 2 2 2 2" xfId="1326" xr:uid="{00000000-0005-0000-0000-000006000000}"/>
    <cellStyle name="20% - Accent1 2 2 2 3" xfId="1020" xr:uid="{00000000-0005-0000-0000-000007000000}"/>
    <cellStyle name="20% - Accent1 2 2 3" xfId="289" xr:uid="{00000000-0005-0000-0000-000008000000}"/>
    <cellStyle name="20% - Accent1 2 2 3 2" xfId="1211" xr:uid="{00000000-0005-0000-0000-000009000000}"/>
    <cellStyle name="20% - Accent1 2 2 4" xfId="595" xr:uid="{00000000-0005-0000-0000-00000A000000}"/>
    <cellStyle name="20% - Accent1 2 2 5" xfId="866" xr:uid="{00000000-0005-0000-0000-00000B000000}"/>
    <cellStyle name="20% - Accent1 2 3" xfId="116" xr:uid="{00000000-0005-0000-0000-00000C000000}"/>
    <cellStyle name="20% - Accent1 2 3 2" xfId="436" xr:uid="{00000000-0005-0000-0000-00000D000000}"/>
    <cellStyle name="20% - Accent1 2 3 2 2" xfId="742" xr:uid="{00000000-0005-0000-0000-00000E000000}"/>
    <cellStyle name="20% - Accent1 2 3 2 2 2" xfId="1358" xr:uid="{00000000-0005-0000-0000-00000F000000}"/>
    <cellStyle name="20% - Accent1 2 3 2 3" xfId="1052" xr:uid="{00000000-0005-0000-0000-000010000000}"/>
    <cellStyle name="20% - Accent1 2 3 3" xfId="309" xr:uid="{00000000-0005-0000-0000-000011000000}"/>
    <cellStyle name="20% - Accent1 2 3 3 2" xfId="1231" xr:uid="{00000000-0005-0000-0000-000012000000}"/>
    <cellStyle name="20% - Accent1 2 3 4" xfId="615" xr:uid="{00000000-0005-0000-0000-000013000000}"/>
    <cellStyle name="20% - Accent1 2 3 5" xfId="898" xr:uid="{00000000-0005-0000-0000-000014000000}"/>
    <cellStyle name="20% - Accent1 2 4" xfId="162" xr:uid="{00000000-0005-0000-0000-000015000000}"/>
    <cellStyle name="20% - Accent1 2 4 2" xfId="482" xr:uid="{00000000-0005-0000-0000-000016000000}"/>
    <cellStyle name="20% - Accent1 2 4 2 2" xfId="788" xr:uid="{00000000-0005-0000-0000-000017000000}"/>
    <cellStyle name="20% - Accent1 2 4 2 2 2" xfId="1404" xr:uid="{00000000-0005-0000-0000-000018000000}"/>
    <cellStyle name="20% - Accent1 2 4 2 3" xfId="1098" xr:uid="{00000000-0005-0000-0000-000019000000}"/>
    <cellStyle name="20% - Accent1 2 4 3" xfId="258" xr:uid="{00000000-0005-0000-0000-00001A000000}"/>
    <cellStyle name="20% - Accent1 2 4 3 2" xfId="1180" xr:uid="{00000000-0005-0000-0000-00001B000000}"/>
    <cellStyle name="20% - Accent1 2 4 4" xfId="564" xr:uid="{00000000-0005-0000-0000-00001C000000}"/>
    <cellStyle name="20% - Accent1 2 4 5" xfId="944" xr:uid="{00000000-0005-0000-0000-00001D000000}"/>
    <cellStyle name="20% - Accent1 2 5" xfId="341" xr:uid="{00000000-0005-0000-0000-00001E000000}"/>
    <cellStyle name="20% - Accent1 2 5 2" xfId="647" xr:uid="{00000000-0005-0000-0000-00001F000000}"/>
    <cellStyle name="20% - Accent1 2 5 2 2" xfId="1263" xr:uid="{00000000-0005-0000-0000-000020000000}"/>
    <cellStyle name="20% - Accent1 2 5 3" xfId="989" xr:uid="{00000000-0005-0000-0000-000021000000}"/>
    <cellStyle name="20% - Accent1 2 6" xfId="373" xr:uid="{00000000-0005-0000-0000-000022000000}"/>
    <cellStyle name="20% - Accent1 2 6 2" xfId="679" xr:uid="{00000000-0005-0000-0000-000023000000}"/>
    <cellStyle name="20% - Accent1 2 6 3" xfId="1295" xr:uid="{00000000-0005-0000-0000-000024000000}"/>
    <cellStyle name="20% - Accent1 2 7" xfId="225" xr:uid="{00000000-0005-0000-0000-000025000000}"/>
    <cellStyle name="20% - Accent1 2 7 2" xfId="1147" xr:uid="{00000000-0005-0000-0000-000026000000}"/>
    <cellStyle name="20% - Accent1 2 8" xfId="531" xr:uid="{00000000-0005-0000-0000-000027000000}"/>
    <cellStyle name="20% - Accent1 2 9" xfId="835" xr:uid="{00000000-0005-0000-0000-000028000000}"/>
    <cellStyle name="20% - Accent1 3" xfId="68" xr:uid="{00000000-0005-0000-0000-000029000000}"/>
    <cellStyle name="20% - Accent1 3 2" xfId="273" xr:uid="{00000000-0005-0000-0000-00002A000000}"/>
    <cellStyle name="20% - Accent1 3 2 2" xfId="579" xr:uid="{00000000-0005-0000-0000-00002B000000}"/>
    <cellStyle name="20% - Accent1 3 2 2 2" xfId="1195" xr:uid="{00000000-0005-0000-0000-00002C000000}"/>
    <cellStyle name="20% - Accent1 3 2 3" xfId="1004" xr:uid="{00000000-0005-0000-0000-00002D000000}"/>
    <cellStyle name="20% - Accent1 3 3" xfId="388" xr:uid="{00000000-0005-0000-0000-00002E000000}"/>
    <cellStyle name="20% - Accent1 3 3 2" xfId="694" xr:uid="{00000000-0005-0000-0000-00002F000000}"/>
    <cellStyle name="20% - Accent1 3 3 3" xfId="1310" xr:uid="{00000000-0005-0000-0000-000030000000}"/>
    <cellStyle name="20% - Accent1 3 4" xfId="209" xr:uid="{00000000-0005-0000-0000-000031000000}"/>
    <cellStyle name="20% - Accent1 3 4 2" xfId="1131" xr:uid="{00000000-0005-0000-0000-000032000000}"/>
    <cellStyle name="20% - Accent1 3 5" xfId="515" xr:uid="{00000000-0005-0000-0000-000033000000}"/>
    <cellStyle name="20% - Accent1 3 6" xfId="850" xr:uid="{00000000-0005-0000-0000-000034000000}"/>
    <cellStyle name="20% - Accent1 4" xfId="100" xr:uid="{00000000-0005-0000-0000-000035000000}"/>
    <cellStyle name="20% - Accent1 4 2" xfId="420" xr:uid="{00000000-0005-0000-0000-000036000000}"/>
    <cellStyle name="20% - Accent1 4 2 2" xfId="726" xr:uid="{00000000-0005-0000-0000-000037000000}"/>
    <cellStyle name="20% - Accent1 4 2 2 2" xfId="1342" xr:uid="{00000000-0005-0000-0000-000038000000}"/>
    <cellStyle name="20% - Accent1 4 2 3" xfId="1036" xr:uid="{00000000-0005-0000-0000-000039000000}"/>
    <cellStyle name="20% - Accent1 4 3" xfId="242" xr:uid="{00000000-0005-0000-0000-00003A000000}"/>
    <cellStyle name="20% - Accent1 4 3 2" xfId="1164" xr:uid="{00000000-0005-0000-0000-00003B000000}"/>
    <cellStyle name="20% - Accent1 4 4" xfId="548" xr:uid="{00000000-0005-0000-0000-00003C000000}"/>
    <cellStyle name="20% - Accent1 4 5" xfId="882" xr:uid="{00000000-0005-0000-0000-00003D000000}"/>
    <cellStyle name="20% - Accent1 5" xfId="131" xr:uid="{00000000-0005-0000-0000-00003E000000}"/>
    <cellStyle name="20% - Accent1 5 2" xfId="451" xr:uid="{00000000-0005-0000-0000-00003F000000}"/>
    <cellStyle name="20% - Accent1 5 2 2" xfId="757" xr:uid="{00000000-0005-0000-0000-000040000000}"/>
    <cellStyle name="20% - Accent1 5 2 2 2" xfId="1373" xr:uid="{00000000-0005-0000-0000-000041000000}"/>
    <cellStyle name="20% - Accent1 5 2 3" xfId="1067" xr:uid="{00000000-0005-0000-0000-000042000000}"/>
    <cellStyle name="20% - Accent1 5 3" xfId="325" xr:uid="{00000000-0005-0000-0000-000043000000}"/>
    <cellStyle name="20% - Accent1 5 3 2" xfId="1247" xr:uid="{00000000-0005-0000-0000-000044000000}"/>
    <cellStyle name="20% - Accent1 5 4" xfId="631" xr:uid="{00000000-0005-0000-0000-000045000000}"/>
    <cellStyle name="20% - Accent1 5 5" xfId="913" xr:uid="{00000000-0005-0000-0000-000046000000}"/>
    <cellStyle name="20% - Accent1 6" xfId="146" xr:uid="{00000000-0005-0000-0000-000047000000}"/>
    <cellStyle name="20% - Accent1 6 2" xfId="466" xr:uid="{00000000-0005-0000-0000-000048000000}"/>
    <cellStyle name="20% - Accent1 6 2 2" xfId="1082" xr:uid="{00000000-0005-0000-0000-000049000000}"/>
    <cellStyle name="20% - Accent1 6 3" xfId="772" xr:uid="{00000000-0005-0000-0000-00004A000000}"/>
    <cellStyle name="20% - Accent1 6 3 2" xfId="1388" xr:uid="{00000000-0005-0000-0000-00004B000000}"/>
    <cellStyle name="20% - Accent1 6 4" xfId="928" xr:uid="{00000000-0005-0000-0000-00004C000000}"/>
    <cellStyle name="20% - Accent1 7" xfId="177" xr:uid="{00000000-0005-0000-0000-00004D000000}"/>
    <cellStyle name="20% - Accent1 7 2" xfId="357" xr:uid="{00000000-0005-0000-0000-00004E000000}"/>
    <cellStyle name="20% - Accent1 7 2 2" xfId="1279" xr:uid="{00000000-0005-0000-0000-00004F000000}"/>
    <cellStyle name="20% - Accent1 7 3" xfId="663" xr:uid="{00000000-0005-0000-0000-000050000000}"/>
    <cellStyle name="20% - Accent1 7 4" xfId="959" xr:uid="{00000000-0005-0000-0000-000051000000}"/>
    <cellStyle name="20% - Accent1 8" xfId="192" xr:uid="{00000000-0005-0000-0000-000052000000}"/>
    <cellStyle name="20% - Accent1 8 2" xfId="803" xr:uid="{00000000-0005-0000-0000-000053000000}"/>
    <cellStyle name="20% - Accent1 8 2 2" xfId="1419" xr:uid="{00000000-0005-0000-0000-000054000000}"/>
    <cellStyle name="20% - Accent1 8 3" xfId="983" xr:uid="{00000000-0005-0000-0000-000055000000}"/>
    <cellStyle name="20% - Accent1 9" xfId="498" xr:uid="{00000000-0005-0000-0000-000056000000}"/>
    <cellStyle name="20% - Accent1 9 2" xfId="1114" xr:uid="{00000000-0005-0000-0000-000057000000}"/>
    <cellStyle name="20% - Accent2" xfId="30" builtinId="34" customBuiltin="1"/>
    <cellStyle name="20% - Accent2 10" xfId="820" xr:uid="{00000000-0005-0000-0000-000059000000}"/>
    <cellStyle name="20% - Accent2 2" xfId="55" xr:uid="{00000000-0005-0000-0000-00005A000000}"/>
    <cellStyle name="20% - Accent2 2 2" xfId="86" xr:uid="{00000000-0005-0000-0000-00005B000000}"/>
    <cellStyle name="20% - Accent2 2 2 2" xfId="406" xr:uid="{00000000-0005-0000-0000-00005C000000}"/>
    <cellStyle name="20% - Accent2 2 2 2 2" xfId="712" xr:uid="{00000000-0005-0000-0000-00005D000000}"/>
    <cellStyle name="20% - Accent2 2 2 2 2 2" xfId="1328" xr:uid="{00000000-0005-0000-0000-00005E000000}"/>
    <cellStyle name="20% - Accent2 2 2 2 3" xfId="1022" xr:uid="{00000000-0005-0000-0000-00005F000000}"/>
    <cellStyle name="20% - Accent2 2 2 3" xfId="291" xr:uid="{00000000-0005-0000-0000-000060000000}"/>
    <cellStyle name="20% - Accent2 2 2 3 2" xfId="1213" xr:uid="{00000000-0005-0000-0000-000061000000}"/>
    <cellStyle name="20% - Accent2 2 2 4" xfId="597" xr:uid="{00000000-0005-0000-0000-000062000000}"/>
    <cellStyle name="20% - Accent2 2 2 5" xfId="868" xr:uid="{00000000-0005-0000-0000-000063000000}"/>
    <cellStyle name="20% - Accent2 2 3" xfId="118" xr:uid="{00000000-0005-0000-0000-000064000000}"/>
    <cellStyle name="20% - Accent2 2 3 2" xfId="438" xr:uid="{00000000-0005-0000-0000-000065000000}"/>
    <cellStyle name="20% - Accent2 2 3 2 2" xfId="744" xr:uid="{00000000-0005-0000-0000-000066000000}"/>
    <cellStyle name="20% - Accent2 2 3 2 2 2" xfId="1360" xr:uid="{00000000-0005-0000-0000-000067000000}"/>
    <cellStyle name="20% - Accent2 2 3 2 3" xfId="1054" xr:uid="{00000000-0005-0000-0000-000068000000}"/>
    <cellStyle name="20% - Accent2 2 3 3" xfId="311" xr:uid="{00000000-0005-0000-0000-000069000000}"/>
    <cellStyle name="20% - Accent2 2 3 3 2" xfId="1233" xr:uid="{00000000-0005-0000-0000-00006A000000}"/>
    <cellStyle name="20% - Accent2 2 3 4" xfId="617" xr:uid="{00000000-0005-0000-0000-00006B000000}"/>
    <cellStyle name="20% - Accent2 2 3 5" xfId="900" xr:uid="{00000000-0005-0000-0000-00006C000000}"/>
    <cellStyle name="20% - Accent2 2 4" xfId="164" xr:uid="{00000000-0005-0000-0000-00006D000000}"/>
    <cellStyle name="20% - Accent2 2 4 2" xfId="484" xr:uid="{00000000-0005-0000-0000-00006E000000}"/>
    <cellStyle name="20% - Accent2 2 4 2 2" xfId="790" xr:uid="{00000000-0005-0000-0000-00006F000000}"/>
    <cellStyle name="20% - Accent2 2 4 2 2 2" xfId="1406" xr:uid="{00000000-0005-0000-0000-000070000000}"/>
    <cellStyle name="20% - Accent2 2 4 2 3" xfId="1100" xr:uid="{00000000-0005-0000-0000-000071000000}"/>
    <cellStyle name="20% - Accent2 2 4 3" xfId="260" xr:uid="{00000000-0005-0000-0000-000072000000}"/>
    <cellStyle name="20% - Accent2 2 4 3 2" xfId="1182" xr:uid="{00000000-0005-0000-0000-000073000000}"/>
    <cellStyle name="20% - Accent2 2 4 4" xfId="566" xr:uid="{00000000-0005-0000-0000-000074000000}"/>
    <cellStyle name="20% - Accent2 2 4 5" xfId="946" xr:uid="{00000000-0005-0000-0000-000075000000}"/>
    <cellStyle name="20% - Accent2 2 5" xfId="343" xr:uid="{00000000-0005-0000-0000-000076000000}"/>
    <cellStyle name="20% - Accent2 2 5 2" xfId="649" xr:uid="{00000000-0005-0000-0000-000077000000}"/>
    <cellStyle name="20% - Accent2 2 5 2 2" xfId="1265" xr:uid="{00000000-0005-0000-0000-000078000000}"/>
    <cellStyle name="20% - Accent2 2 5 3" xfId="991" xr:uid="{00000000-0005-0000-0000-000079000000}"/>
    <cellStyle name="20% - Accent2 2 6" xfId="375" xr:uid="{00000000-0005-0000-0000-00007A000000}"/>
    <cellStyle name="20% - Accent2 2 6 2" xfId="681" xr:uid="{00000000-0005-0000-0000-00007B000000}"/>
    <cellStyle name="20% - Accent2 2 6 3" xfId="1297" xr:uid="{00000000-0005-0000-0000-00007C000000}"/>
    <cellStyle name="20% - Accent2 2 7" xfId="227" xr:uid="{00000000-0005-0000-0000-00007D000000}"/>
    <cellStyle name="20% - Accent2 2 7 2" xfId="1149" xr:uid="{00000000-0005-0000-0000-00007E000000}"/>
    <cellStyle name="20% - Accent2 2 8" xfId="533" xr:uid="{00000000-0005-0000-0000-00007F000000}"/>
    <cellStyle name="20% - Accent2 2 9" xfId="837" xr:uid="{00000000-0005-0000-0000-000080000000}"/>
    <cellStyle name="20% - Accent2 3" xfId="70" xr:uid="{00000000-0005-0000-0000-000081000000}"/>
    <cellStyle name="20% - Accent2 3 2" xfId="275" xr:uid="{00000000-0005-0000-0000-000082000000}"/>
    <cellStyle name="20% - Accent2 3 2 2" xfId="581" xr:uid="{00000000-0005-0000-0000-000083000000}"/>
    <cellStyle name="20% - Accent2 3 2 2 2" xfId="1197" xr:uid="{00000000-0005-0000-0000-000084000000}"/>
    <cellStyle name="20% - Accent2 3 2 3" xfId="1006" xr:uid="{00000000-0005-0000-0000-000085000000}"/>
    <cellStyle name="20% - Accent2 3 3" xfId="390" xr:uid="{00000000-0005-0000-0000-000086000000}"/>
    <cellStyle name="20% - Accent2 3 3 2" xfId="696" xr:uid="{00000000-0005-0000-0000-000087000000}"/>
    <cellStyle name="20% - Accent2 3 3 3" xfId="1312" xr:uid="{00000000-0005-0000-0000-000088000000}"/>
    <cellStyle name="20% - Accent2 3 4" xfId="211" xr:uid="{00000000-0005-0000-0000-000089000000}"/>
    <cellStyle name="20% - Accent2 3 4 2" xfId="1133" xr:uid="{00000000-0005-0000-0000-00008A000000}"/>
    <cellStyle name="20% - Accent2 3 5" xfId="517" xr:uid="{00000000-0005-0000-0000-00008B000000}"/>
    <cellStyle name="20% - Accent2 3 6" xfId="852" xr:uid="{00000000-0005-0000-0000-00008C000000}"/>
    <cellStyle name="20% - Accent2 4" xfId="102" xr:uid="{00000000-0005-0000-0000-00008D000000}"/>
    <cellStyle name="20% - Accent2 4 2" xfId="422" xr:uid="{00000000-0005-0000-0000-00008E000000}"/>
    <cellStyle name="20% - Accent2 4 2 2" xfId="728" xr:uid="{00000000-0005-0000-0000-00008F000000}"/>
    <cellStyle name="20% - Accent2 4 2 2 2" xfId="1344" xr:uid="{00000000-0005-0000-0000-000090000000}"/>
    <cellStyle name="20% - Accent2 4 2 3" xfId="1038" xr:uid="{00000000-0005-0000-0000-000091000000}"/>
    <cellStyle name="20% - Accent2 4 3" xfId="244" xr:uid="{00000000-0005-0000-0000-000092000000}"/>
    <cellStyle name="20% - Accent2 4 3 2" xfId="1166" xr:uid="{00000000-0005-0000-0000-000093000000}"/>
    <cellStyle name="20% - Accent2 4 4" xfId="550" xr:uid="{00000000-0005-0000-0000-000094000000}"/>
    <cellStyle name="20% - Accent2 4 5" xfId="884" xr:uid="{00000000-0005-0000-0000-000095000000}"/>
    <cellStyle name="20% - Accent2 5" xfId="133" xr:uid="{00000000-0005-0000-0000-000096000000}"/>
    <cellStyle name="20% - Accent2 5 2" xfId="453" xr:uid="{00000000-0005-0000-0000-000097000000}"/>
    <cellStyle name="20% - Accent2 5 2 2" xfId="759" xr:uid="{00000000-0005-0000-0000-000098000000}"/>
    <cellStyle name="20% - Accent2 5 2 2 2" xfId="1375" xr:uid="{00000000-0005-0000-0000-000099000000}"/>
    <cellStyle name="20% - Accent2 5 2 3" xfId="1069" xr:uid="{00000000-0005-0000-0000-00009A000000}"/>
    <cellStyle name="20% - Accent2 5 3" xfId="327" xr:uid="{00000000-0005-0000-0000-00009B000000}"/>
    <cellStyle name="20% - Accent2 5 3 2" xfId="1249" xr:uid="{00000000-0005-0000-0000-00009C000000}"/>
    <cellStyle name="20% - Accent2 5 4" xfId="633" xr:uid="{00000000-0005-0000-0000-00009D000000}"/>
    <cellStyle name="20% - Accent2 5 5" xfId="915" xr:uid="{00000000-0005-0000-0000-00009E000000}"/>
    <cellStyle name="20% - Accent2 6" xfId="148" xr:uid="{00000000-0005-0000-0000-00009F000000}"/>
    <cellStyle name="20% - Accent2 6 2" xfId="468" xr:uid="{00000000-0005-0000-0000-0000A0000000}"/>
    <cellStyle name="20% - Accent2 6 2 2" xfId="1084" xr:uid="{00000000-0005-0000-0000-0000A1000000}"/>
    <cellStyle name="20% - Accent2 6 3" xfId="774" xr:uid="{00000000-0005-0000-0000-0000A2000000}"/>
    <cellStyle name="20% - Accent2 6 3 2" xfId="1390" xr:uid="{00000000-0005-0000-0000-0000A3000000}"/>
    <cellStyle name="20% - Accent2 6 4" xfId="930" xr:uid="{00000000-0005-0000-0000-0000A4000000}"/>
    <cellStyle name="20% - Accent2 7" xfId="179" xr:uid="{00000000-0005-0000-0000-0000A5000000}"/>
    <cellStyle name="20% - Accent2 7 2" xfId="359" xr:uid="{00000000-0005-0000-0000-0000A6000000}"/>
    <cellStyle name="20% - Accent2 7 2 2" xfId="1281" xr:uid="{00000000-0005-0000-0000-0000A7000000}"/>
    <cellStyle name="20% - Accent2 7 3" xfId="665" xr:uid="{00000000-0005-0000-0000-0000A8000000}"/>
    <cellStyle name="20% - Accent2 7 4" xfId="961" xr:uid="{00000000-0005-0000-0000-0000A9000000}"/>
    <cellStyle name="20% - Accent2 8" xfId="194" xr:uid="{00000000-0005-0000-0000-0000AA000000}"/>
    <cellStyle name="20% - Accent2 8 2" xfId="805" xr:uid="{00000000-0005-0000-0000-0000AB000000}"/>
    <cellStyle name="20% - Accent2 8 2 2" xfId="1421" xr:uid="{00000000-0005-0000-0000-0000AC000000}"/>
    <cellStyle name="20% - Accent2 8 3" xfId="980" xr:uid="{00000000-0005-0000-0000-0000AD000000}"/>
    <cellStyle name="20% - Accent2 9" xfId="500" xr:uid="{00000000-0005-0000-0000-0000AE000000}"/>
    <cellStyle name="20% - Accent2 9 2" xfId="1116" xr:uid="{00000000-0005-0000-0000-0000AF000000}"/>
    <cellStyle name="20% - Accent3" xfId="34" builtinId="38" customBuiltin="1"/>
    <cellStyle name="20% - Accent3 10" xfId="823" xr:uid="{00000000-0005-0000-0000-0000B1000000}"/>
    <cellStyle name="20% - Accent3 2" xfId="57" xr:uid="{00000000-0005-0000-0000-0000B2000000}"/>
    <cellStyle name="20% - Accent3 2 2" xfId="88" xr:uid="{00000000-0005-0000-0000-0000B3000000}"/>
    <cellStyle name="20% - Accent3 2 2 2" xfId="408" xr:uid="{00000000-0005-0000-0000-0000B4000000}"/>
    <cellStyle name="20% - Accent3 2 2 2 2" xfId="714" xr:uid="{00000000-0005-0000-0000-0000B5000000}"/>
    <cellStyle name="20% - Accent3 2 2 2 2 2" xfId="1330" xr:uid="{00000000-0005-0000-0000-0000B6000000}"/>
    <cellStyle name="20% - Accent3 2 2 2 3" xfId="1024" xr:uid="{00000000-0005-0000-0000-0000B7000000}"/>
    <cellStyle name="20% - Accent3 2 2 3" xfId="293" xr:uid="{00000000-0005-0000-0000-0000B8000000}"/>
    <cellStyle name="20% - Accent3 2 2 3 2" xfId="1215" xr:uid="{00000000-0005-0000-0000-0000B9000000}"/>
    <cellStyle name="20% - Accent3 2 2 4" xfId="599" xr:uid="{00000000-0005-0000-0000-0000BA000000}"/>
    <cellStyle name="20% - Accent3 2 2 5" xfId="870" xr:uid="{00000000-0005-0000-0000-0000BB000000}"/>
    <cellStyle name="20% - Accent3 2 3" xfId="120" xr:uid="{00000000-0005-0000-0000-0000BC000000}"/>
    <cellStyle name="20% - Accent3 2 3 2" xfId="440" xr:uid="{00000000-0005-0000-0000-0000BD000000}"/>
    <cellStyle name="20% - Accent3 2 3 2 2" xfId="746" xr:uid="{00000000-0005-0000-0000-0000BE000000}"/>
    <cellStyle name="20% - Accent3 2 3 2 2 2" xfId="1362" xr:uid="{00000000-0005-0000-0000-0000BF000000}"/>
    <cellStyle name="20% - Accent3 2 3 2 3" xfId="1056" xr:uid="{00000000-0005-0000-0000-0000C0000000}"/>
    <cellStyle name="20% - Accent3 2 3 3" xfId="313" xr:uid="{00000000-0005-0000-0000-0000C1000000}"/>
    <cellStyle name="20% - Accent3 2 3 3 2" xfId="1235" xr:uid="{00000000-0005-0000-0000-0000C2000000}"/>
    <cellStyle name="20% - Accent3 2 3 4" xfId="619" xr:uid="{00000000-0005-0000-0000-0000C3000000}"/>
    <cellStyle name="20% - Accent3 2 3 5" xfId="902" xr:uid="{00000000-0005-0000-0000-0000C4000000}"/>
    <cellStyle name="20% - Accent3 2 4" xfId="166" xr:uid="{00000000-0005-0000-0000-0000C5000000}"/>
    <cellStyle name="20% - Accent3 2 4 2" xfId="486" xr:uid="{00000000-0005-0000-0000-0000C6000000}"/>
    <cellStyle name="20% - Accent3 2 4 2 2" xfId="792" xr:uid="{00000000-0005-0000-0000-0000C7000000}"/>
    <cellStyle name="20% - Accent3 2 4 2 2 2" xfId="1408" xr:uid="{00000000-0005-0000-0000-0000C8000000}"/>
    <cellStyle name="20% - Accent3 2 4 2 3" xfId="1102" xr:uid="{00000000-0005-0000-0000-0000C9000000}"/>
    <cellStyle name="20% - Accent3 2 4 3" xfId="262" xr:uid="{00000000-0005-0000-0000-0000CA000000}"/>
    <cellStyle name="20% - Accent3 2 4 3 2" xfId="1184" xr:uid="{00000000-0005-0000-0000-0000CB000000}"/>
    <cellStyle name="20% - Accent3 2 4 4" xfId="568" xr:uid="{00000000-0005-0000-0000-0000CC000000}"/>
    <cellStyle name="20% - Accent3 2 4 5" xfId="948" xr:uid="{00000000-0005-0000-0000-0000CD000000}"/>
    <cellStyle name="20% - Accent3 2 5" xfId="345" xr:uid="{00000000-0005-0000-0000-0000CE000000}"/>
    <cellStyle name="20% - Accent3 2 5 2" xfId="651" xr:uid="{00000000-0005-0000-0000-0000CF000000}"/>
    <cellStyle name="20% - Accent3 2 5 2 2" xfId="1267" xr:uid="{00000000-0005-0000-0000-0000D0000000}"/>
    <cellStyle name="20% - Accent3 2 5 3" xfId="993" xr:uid="{00000000-0005-0000-0000-0000D1000000}"/>
    <cellStyle name="20% - Accent3 2 6" xfId="377" xr:uid="{00000000-0005-0000-0000-0000D2000000}"/>
    <cellStyle name="20% - Accent3 2 6 2" xfId="683" xr:uid="{00000000-0005-0000-0000-0000D3000000}"/>
    <cellStyle name="20% - Accent3 2 6 3" xfId="1299" xr:uid="{00000000-0005-0000-0000-0000D4000000}"/>
    <cellStyle name="20% - Accent3 2 7" xfId="229" xr:uid="{00000000-0005-0000-0000-0000D5000000}"/>
    <cellStyle name="20% - Accent3 2 7 2" xfId="1151" xr:uid="{00000000-0005-0000-0000-0000D6000000}"/>
    <cellStyle name="20% - Accent3 2 8" xfId="535" xr:uid="{00000000-0005-0000-0000-0000D7000000}"/>
    <cellStyle name="20% - Accent3 2 9" xfId="839" xr:uid="{00000000-0005-0000-0000-0000D8000000}"/>
    <cellStyle name="20% - Accent3 3" xfId="72" xr:uid="{00000000-0005-0000-0000-0000D9000000}"/>
    <cellStyle name="20% - Accent3 3 2" xfId="277" xr:uid="{00000000-0005-0000-0000-0000DA000000}"/>
    <cellStyle name="20% - Accent3 3 2 2" xfId="583" xr:uid="{00000000-0005-0000-0000-0000DB000000}"/>
    <cellStyle name="20% - Accent3 3 2 2 2" xfId="1199" xr:uid="{00000000-0005-0000-0000-0000DC000000}"/>
    <cellStyle name="20% - Accent3 3 2 3" xfId="1008" xr:uid="{00000000-0005-0000-0000-0000DD000000}"/>
    <cellStyle name="20% - Accent3 3 3" xfId="392" xr:uid="{00000000-0005-0000-0000-0000DE000000}"/>
    <cellStyle name="20% - Accent3 3 3 2" xfId="698" xr:uid="{00000000-0005-0000-0000-0000DF000000}"/>
    <cellStyle name="20% - Accent3 3 3 3" xfId="1314" xr:uid="{00000000-0005-0000-0000-0000E0000000}"/>
    <cellStyle name="20% - Accent3 3 4" xfId="213" xr:uid="{00000000-0005-0000-0000-0000E1000000}"/>
    <cellStyle name="20% - Accent3 3 4 2" xfId="1135" xr:uid="{00000000-0005-0000-0000-0000E2000000}"/>
    <cellStyle name="20% - Accent3 3 5" xfId="519" xr:uid="{00000000-0005-0000-0000-0000E3000000}"/>
    <cellStyle name="20% - Accent3 3 6" xfId="854" xr:uid="{00000000-0005-0000-0000-0000E4000000}"/>
    <cellStyle name="20% - Accent3 4" xfId="104" xr:uid="{00000000-0005-0000-0000-0000E5000000}"/>
    <cellStyle name="20% - Accent3 4 2" xfId="424" xr:uid="{00000000-0005-0000-0000-0000E6000000}"/>
    <cellStyle name="20% - Accent3 4 2 2" xfId="730" xr:uid="{00000000-0005-0000-0000-0000E7000000}"/>
    <cellStyle name="20% - Accent3 4 2 2 2" xfId="1346" xr:uid="{00000000-0005-0000-0000-0000E8000000}"/>
    <cellStyle name="20% - Accent3 4 2 3" xfId="1040" xr:uid="{00000000-0005-0000-0000-0000E9000000}"/>
    <cellStyle name="20% - Accent3 4 3" xfId="246" xr:uid="{00000000-0005-0000-0000-0000EA000000}"/>
    <cellStyle name="20% - Accent3 4 3 2" xfId="1168" xr:uid="{00000000-0005-0000-0000-0000EB000000}"/>
    <cellStyle name="20% - Accent3 4 4" xfId="552" xr:uid="{00000000-0005-0000-0000-0000EC000000}"/>
    <cellStyle name="20% - Accent3 4 5" xfId="886" xr:uid="{00000000-0005-0000-0000-0000ED000000}"/>
    <cellStyle name="20% - Accent3 5" xfId="135" xr:uid="{00000000-0005-0000-0000-0000EE000000}"/>
    <cellStyle name="20% - Accent3 5 2" xfId="455" xr:uid="{00000000-0005-0000-0000-0000EF000000}"/>
    <cellStyle name="20% - Accent3 5 2 2" xfId="761" xr:uid="{00000000-0005-0000-0000-0000F0000000}"/>
    <cellStyle name="20% - Accent3 5 2 2 2" xfId="1377" xr:uid="{00000000-0005-0000-0000-0000F1000000}"/>
    <cellStyle name="20% - Accent3 5 2 3" xfId="1071" xr:uid="{00000000-0005-0000-0000-0000F2000000}"/>
    <cellStyle name="20% - Accent3 5 3" xfId="329" xr:uid="{00000000-0005-0000-0000-0000F3000000}"/>
    <cellStyle name="20% - Accent3 5 3 2" xfId="1251" xr:uid="{00000000-0005-0000-0000-0000F4000000}"/>
    <cellStyle name="20% - Accent3 5 4" xfId="635" xr:uid="{00000000-0005-0000-0000-0000F5000000}"/>
    <cellStyle name="20% - Accent3 5 5" xfId="917" xr:uid="{00000000-0005-0000-0000-0000F6000000}"/>
    <cellStyle name="20% - Accent3 6" xfId="150" xr:uid="{00000000-0005-0000-0000-0000F7000000}"/>
    <cellStyle name="20% - Accent3 6 2" xfId="470" xr:uid="{00000000-0005-0000-0000-0000F8000000}"/>
    <cellStyle name="20% - Accent3 6 2 2" xfId="1086" xr:uid="{00000000-0005-0000-0000-0000F9000000}"/>
    <cellStyle name="20% - Accent3 6 3" xfId="776" xr:uid="{00000000-0005-0000-0000-0000FA000000}"/>
    <cellStyle name="20% - Accent3 6 3 2" xfId="1392" xr:uid="{00000000-0005-0000-0000-0000FB000000}"/>
    <cellStyle name="20% - Accent3 6 4" xfId="932" xr:uid="{00000000-0005-0000-0000-0000FC000000}"/>
    <cellStyle name="20% - Accent3 7" xfId="181" xr:uid="{00000000-0005-0000-0000-0000FD000000}"/>
    <cellStyle name="20% - Accent3 7 2" xfId="361" xr:uid="{00000000-0005-0000-0000-0000FE000000}"/>
    <cellStyle name="20% - Accent3 7 2 2" xfId="1283" xr:uid="{00000000-0005-0000-0000-0000FF000000}"/>
    <cellStyle name="20% - Accent3 7 3" xfId="667" xr:uid="{00000000-0005-0000-0000-000000010000}"/>
    <cellStyle name="20% - Accent3 7 4" xfId="963" xr:uid="{00000000-0005-0000-0000-000001010000}"/>
    <cellStyle name="20% - Accent3 8" xfId="196" xr:uid="{00000000-0005-0000-0000-000002010000}"/>
    <cellStyle name="20% - Accent3 8 2" xfId="807" xr:uid="{00000000-0005-0000-0000-000003010000}"/>
    <cellStyle name="20% - Accent3 8 2 2" xfId="1423" xr:uid="{00000000-0005-0000-0000-000004010000}"/>
    <cellStyle name="20% - Accent3 8 3" xfId="981" xr:uid="{00000000-0005-0000-0000-000005010000}"/>
    <cellStyle name="20% - Accent3 9" xfId="502" xr:uid="{00000000-0005-0000-0000-000006010000}"/>
    <cellStyle name="20% - Accent3 9 2" xfId="1118" xr:uid="{00000000-0005-0000-0000-000007010000}"/>
    <cellStyle name="20% - Accent4" xfId="38" builtinId="42" customBuiltin="1"/>
    <cellStyle name="20% - Accent4 10" xfId="825" xr:uid="{00000000-0005-0000-0000-000009010000}"/>
    <cellStyle name="20% - Accent4 2" xfId="59" xr:uid="{00000000-0005-0000-0000-00000A010000}"/>
    <cellStyle name="20% - Accent4 2 2" xfId="90" xr:uid="{00000000-0005-0000-0000-00000B010000}"/>
    <cellStyle name="20% - Accent4 2 2 2" xfId="410" xr:uid="{00000000-0005-0000-0000-00000C010000}"/>
    <cellStyle name="20% - Accent4 2 2 2 2" xfId="716" xr:uid="{00000000-0005-0000-0000-00000D010000}"/>
    <cellStyle name="20% - Accent4 2 2 2 2 2" xfId="1332" xr:uid="{00000000-0005-0000-0000-00000E010000}"/>
    <cellStyle name="20% - Accent4 2 2 2 3" xfId="1026" xr:uid="{00000000-0005-0000-0000-00000F010000}"/>
    <cellStyle name="20% - Accent4 2 2 3" xfId="295" xr:uid="{00000000-0005-0000-0000-000010010000}"/>
    <cellStyle name="20% - Accent4 2 2 3 2" xfId="1217" xr:uid="{00000000-0005-0000-0000-000011010000}"/>
    <cellStyle name="20% - Accent4 2 2 4" xfId="601" xr:uid="{00000000-0005-0000-0000-000012010000}"/>
    <cellStyle name="20% - Accent4 2 2 5" xfId="872" xr:uid="{00000000-0005-0000-0000-000013010000}"/>
    <cellStyle name="20% - Accent4 2 3" xfId="122" xr:uid="{00000000-0005-0000-0000-000014010000}"/>
    <cellStyle name="20% - Accent4 2 3 2" xfId="442" xr:uid="{00000000-0005-0000-0000-000015010000}"/>
    <cellStyle name="20% - Accent4 2 3 2 2" xfId="748" xr:uid="{00000000-0005-0000-0000-000016010000}"/>
    <cellStyle name="20% - Accent4 2 3 2 2 2" xfId="1364" xr:uid="{00000000-0005-0000-0000-000017010000}"/>
    <cellStyle name="20% - Accent4 2 3 2 3" xfId="1058" xr:uid="{00000000-0005-0000-0000-000018010000}"/>
    <cellStyle name="20% - Accent4 2 3 3" xfId="315" xr:uid="{00000000-0005-0000-0000-000019010000}"/>
    <cellStyle name="20% - Accent4 2 3 3 2" xfId="1237" xr:uid="{00000000-0005-0000-0000-00001A010000}"/>
    <cellStyle name="20% - Accent4 2 3 4" xfId="621" xr:uid="{00000000-0005-0000-0000-00001B010000}"/>
    <cellStyle name="20% - Accent4 2 3 5" xfId="904" xr:uid="{00000000-0005-0000-0000-00001C010000}"/>
    <cellStyle name="20% - Accent4 2 4" xfId="168" xr:uid="{00000000-0005-0000-0000-00001D010000}"/>
    <cellStyle name="20% - Accent4 2 4 2" xfId="488" xr:uid="{00000000-0005-0000-0000-00001E010000}"/>
    <cellStyle name="20% - Accent4 2 4 2 2" xfId="794" xr:uid="{00000000-0005-0000-0000-00001F010000}"/>
    <cellStyle name="20% - Accent4 2 4 2 2 2" xfId="1410" xr:uid="{00000000-0005-0000-0000-000020010000}"/>
    <cellStyle name="20% - Accent4 2 4 2 3" xfId="1104" xr:uid="{00000000-0005-0000-0000-000021010000}"/>
    <cellStyle name="20% - Accent4 2 4 3" xfId="264" xr:uid="{00000000-0005-0000-0000-000022010000}"/>
    <cellStyle name="20% - Accent4 2 4 3 2" xfId="1186" xr:uid="{00000000-0005-0000-0000-000023010000}"/>
    <cellStyle name="20% - Accent4 2 4 4" xfId="570" xr:uid="{00000000-0005-0000-0000-000024010000}"/>
    <cellStyle name="20% - Accent4 2 4 5" xfId="950" xr:uid="{00000000-0005-0000-0000-000025010000}"/>
    <cellStyle name="20% - Accent4 2 5" xfId="347" xr:uid="{00000000-0005-0000-0000-000026010000}"/>
    <cellStyle name="20% - Accent4 2 5 2" xfId="653" xr:uid="{00000000-0005-0000-0000-000027010000}"/>
    <cellStyle name="20% - Accent4 2 5 2 2" xfId="1269" xr:uid="{00000000-0005-0000-0000-000028010000}"/>
    <cellStyle name="20% - Accent4 2 5 3" xfId="995" xr:uid="{00000000-0005-0000-0000-000029010000}"/>
    <cellStyle name="20% - Accent4 2 6" xfId="379" xr:uid="{00000000-0005-0000-0000-00002A010000}"/>
    <cellStyle name="20% - Accent4 2 6 2" xfId="685" xr:uid="{00000000-0005-0000-0000-00002B010000}"/>
    <cellStyle name="20% - Accent4 2 6 3" xfId="1301" xr:uid="{00000000-0005-0000-0000-00002C010000}"/>
    <cellStyle name="20% - Accent4 2 7" xfId="231" xr:uid="{00000000-0005-0000-0000-00002D010000}"/>
    <cellStyle name="20% - Accent4 2 7 2" xfId="1153" xr:uid="{00000000-0005-0000-0000-00002E010000}"/>
    <cellStyle name="20% - Accent4 2 8" xfId="537" xr:uid="{00000000-0005-0000-0000-00002F010000}"/>
    <cellStyle name="20% - Accent4 2 9" xfId="841" xr:uid="{00000000-0005-0000-0000-000030010000}"/>
    <cellStyle name="20% - Accent4 3" xfId="74" xr:uid="{00000000-0005-0000-0000-000031010000}"/>
    <cellStyle name="20% - Accent4 3 2" xfId="279" xr:uid="{00000000-0005-0000-0000-000032010000}"/>
    <cellStyle name="20% - Accent4 3 2 2" xfId="585" xr:uid="{00000000-0005-0000-0000-000033010000}"/>
    <cellStyle name="20% - Accent4 3 2 2 2" xfId="1201" xr:uid="{00000000-0005-0000-0000-000034010000}"/>
    <cellStyle name="20% - Accent4 3 2 3" xfId="1010" xr:uid="{00000000-0005-0000-0000-000035010000}"/>
    <cellStyle name="20% - Accent4 3 3" xfId="394" xr:uid="{00000000-0005-0000-0000-000036010000}"/>
    <cellStyle name="20% - Accent4 3 3 2" xfId="700" xr:uid="{00000000-0005-0000-0000-000037010000}"/>
    <cellStyle name="20% - Accent4 3 3 3" xfId="1316" xr:uid="{00000000-0005-0000-0000-000038010000}"/>
    <cellStyle name="20% - Accent4 3 4" xfId="215" xr:uid="{00000000-0005-0000-0000-000039010000}"/>
    <cellStyle name="20% - Accent4 3 4 2" xfId="1137" xr:uid="{00000000-0005-0000-0000-00003A010000}"/>
    <cellStyle name="20% - Accent4 3 5" xfId="521" xr:uid="{00000000-0005-0000-0000-00003B010000}"/>
    <cellStyle name="20% - Accent4 3 6" xfId="856" xr:uid="{00000000-0005-0000-0000-00003C010000}"/>
    <cellStyle name="20% - Accent4 4" xfId="106" xr:uid="{00000000-0005-0000-0000-00003D010000}"/>
    <cellStyle name="20% - Accent4 4 2" xfId="426" xr:uid="{00000000-0005-0000-0000-00003E010000}"/>
    <cellStyle name="20% - Accent4 4 2 2" xfId="732" xr:uid="{00000000-0005-0000-0000-00003F010000}"/>
    <cellStyle name="20% - Accent4 4 2 2 2" xfId="1348" xr:uid="{00000000-0005-0000-0000-000040010000}"/>
    <cellStyle name="20% - Accent4 4 2 3" xfId="1042" xr:uid="{00000000-0005-0000-0000-000041010000}"/>
    <cellStyle name="20% - Accent4 4 3" xfId="248" xr:uid="{00000000-0005-0000-0000-000042010000}"/>
    <cellStyle name="20% - Accent4 4 3 2" xfId="1170" xr:uid="{00000000-0005-0000-0000-000043010000}"/>
    <cellStyle name="20% - Accent4 4 4" xfId="554" xr:uid="{00000000-0005-0000-0000-000044010000}"/>
    <cellStyle name="20% - Accent4 4 5" xfId="888" xr:uid="{00000000-0005-0000-0000-000045010000}"/>
    <cellStyle name="20% - Accent4 5" xfId="137" xr:uid="{00000000-0005-0000-0000-000046010000}"/>
    <cellStyle name="20% - Accent4 5 2" xfId="457" xr:uid="{00000000-0005-0000-0000-000047010000}"/>
    <cellStyle name="20% - Accent4 5 2 2" xfId="763" xr:uid="{00000000-0005-0000-0000-000048010000}"/>
    <cellStyle name="20% - Accent4 5 2 2 2" xfId="1379" xr:uid="{00000000-0005-0000-0000-000049010000}"/>
    <cellStyle name="20% - Accent4 5 2 3" xfId="1073" xr:uid="{00000000-0005-0000-0000-00004A010000}"/>
    <cellStyle name="20% - Accent4 5 3" xfId="331" xr:uid="{00000000-0005-0000-0000-00004B010000}"/>
    <cellStyle name="20% - Accent4 5 3 2" xfId="1253" xr:uid="{00000000-0005-0000-0000-00004C010000}"/>
    <cellStyle name="20% - Accent4 5 4" xfId="637" xr:uid="{00000000-0005-0000-0000-00004D010000}"/>
    <cellStyle name="20% - Accent4 5 5" xfId="919" xr:uid="{00000000-0005-0000-0000-00004E010000}"/>
    <cellStyle name="20% - Accent4 6" xfId="152" xr:uid="{00000000-0005-0000-0000-00004F010000}"/>
    <cellStyle name="20% - Accent4 6 2" xfId="472" xr:uid="{00000000-0005-0000-0000-000050010000}"/>
    <cellStyle name="20% - Accent4 6 2 2" xfId="1088" xr:uid="{00000000-0005-0000-0000-000051010000}"/>
    <cellStyle name="20% - Accent4 6 3" xfId="778" xr:uid="{00000000-0005-0000-0000-000052010000}"/>
    <cellStyle name="20% - Accent4 6 3 2" xfId="1394" xr:uid="{00000000-0005-0000-0000-000053010000}"/>
    <cellStyle name="20% - Accent4 6 4" xfId="934" xr:uid="{00000000-0005-0000-0000-000054010000}"/>
    <cellStyle name="20% - Accent4 7" xfId="183" xr:uid="{00000000-0005-0000-0000-000055010000}"/>
    <cellStyle name="20% - Accent4 7 2" xfId="363" xr:uid="{00000000-0005-0000-0000-000056010000}"/>
    <cellStyle name="20% - Accent4 7 2 2" xfId="1285" xr:uid="{00000000-0005-0000-0000-000057010000}"/>
    <cellStyle name="20% - Accent4 7 3" xfId="669" xr:uid="{00000000-0005-0000-0000-000058010000}"/>
    <cellStyle name="20% - Accent4 7 4" xfId="965" xr:uid="{00000000-0005-0000-0000-000059010000}"/>
    <cellStyle name="20% - Accent4 8" xfId="198" xr:uid="{00000000-0005-0000-0000-00005A010000}"/>
    <cellStyle name="20% - Accent4 8 2" xfId="809" xr:uid="{00000000-0005-0000-0000-00005B010000}"/>
    <cellStyle name="20% - Accent4 8 2 2" xfId="1425" xr:uid="{00000000-0005-0000-0000-00005C010000}"/>
    <cellStyle name="20% - Accent4 8 3" xfId="972" xr:uid="{00000000-0005-0000-0000-00005D010000}"/>
    <cellStyle name="20% - Accent4 9" xfId="504" xr:uid="{00000000-0005-0000-0000-00005E010000}"/>
    <cellStyle name="20% - Accent4 9 2" xfId="1120" xr:uid="{00000000-0005-0000-0000-00005F010000}"/>
    <cellStyle name="20% - Accent5" xfId="42" builtinId="46" customBuiltin="1"/>
    <cellStyle name="20% - Accent5 10" xfId="827" xr:uid="{00000000-0005-0000-0000-000061010000}"/>
    <cellStyle name="20% - Accent5 2" xfId="61" xr:uid="{00000000-0005-0000-0000-000062010000}"/>
    <cellStyle name="20% - Accent5 2 2" xfId="92" xr:uid="{00000000-0005-0000-0000-000063010000}"/>
    <cellStyle name="20% - Accent5 2 2 2" xfId="412" xr:uid="{00000000-0005-0000-0000-000064010000}"/>
    <cellStyle name="20% - Accent5 2 2 2 2" xfId="718" xr:uid="{00000000-0005-0000-0000-000065010000}"/>
    <cellStyle name="20% - Accent5 2 2 2 2 2" xfId="1334" xr:uid="{00000000-0005-0000-0000-000066010000}"/>
    <cellStyle name="20% - Accent5 2 2 2 3" xfId="1028" xr:uid="{00000000-0005-0000-0000-000067010000}"/>
    <cellStyle name="20% - Accent5 2 2 3" xfId="297" xr:uid="{00000000-0005-0000-0000-000068010000}"/>
    <cellStyle name="20% - Accent5 2 2 3 2" xfId="1219" xr:uid="{00000000-0005-0000-0000-000069010000}"/>
    <cellStyle name="20% - Accent5 2 2 4" xfId="603" xr:uid="{00000000-0005-0000-0000-00006A010000}"/>
    <cellStyle name="20% - Accent5 2 2 5" xfId="874" xr:uid="{00000000-0005-0000-0000-00006B010000}"/>
    <cellStyle name="20% - Accent5 2 3" xfId="124" xr:uid="{00000000-0005-0000-0000-00006C010000}"/>
    <cellStyle name="20% - Accent5 2 3 2" xfId="444" xr:uid="{00000000-0005-0000-0000-00006D010000}"/>
    <cellStyle name="20% - Accent5 2 3 2 2" xfId="750" xr:uid="{00000000-0005-0000-0000-00006E010000}"/>
    <cellStyle name="20% - Accent5 2 3 2 2 2" xfId="1366" xr:uid="{00000000-0005-0000-0000-00006F010000}"/>
    <cellStyle name="20% - Accent5 2 3 2 3" xfId="1060" xr:uid="{00000000-0005-0000-0000-000070010000}"/>
    <cellStyle name="20% - Accent5 2 3 3" xfId="317" xr:uid="{00000000-0005-0000-0000-000071010000}"/>
    <cellStyle name="20% - Accent5 2 3 3 2" xfId="1239" xr:uid="{00000000-0005-0000-0000-000072010000}"/>
    <cellStyle name="20% - Accent5 2 3 4" xfId="623" xr:uid="{00000000-0005-0000-0000-000073010000}"/>
    <cellStyle name="20% - Accent5 2 3 5" xfId="906" xr:uid="{00000000-0005-0000-0000-000074010000}"/>
    <cellStyle name="20% - Accent5 2 4" xfId="170" xr:uid="{00000000-0005-0000-0000-000075010000}"/>
    <cellStyle name="20% - Accent5 2 4 2" xfId="490" xr:uid="{00000000-0005-0000-0000-000076010000}"/>
    <cellStyle name="20% - Accent5 2 4 2 2" xfId="796" xr:uid="{00000000-0005-0000-0000-000077010000}"/>
    <cellStyle name="20% - Accent5 2 4 2 2 2" xfId="1412" xr:uid="{00000000-0005-0000-0000-000078010000}"/>
    <cellStyle name="20% - Accent5 2 4 2 3" xfId="1106" xr:uid="{00000000-0005-0000-0000-000079010000}"/>
    <cellStyle name="20% - Accent5 2 4 3" xfId="266" xr:uid="{00000000-0005-0000-0000-00007A010000}"/>
    <cellStyle name="20% - Accent5 2 4 3 2" xfId="1188" xr:uid="{00000000-0005-0000-0000-00007B010000}"/>
    <cellStyle name="20% - Accent5 2 4 4" xfId="572" xr:uid="{00000000-0005-0000-0000-00007C010000}"/>
    <cellStyle name="20% - Accent5 2 4 5" xfId="952" xr:uid="{00000000-0005-0000-0000-00007D010000}"/>
    <cellStyle name="20% - Accent5 2 5" xfId="349" xr:uid="{00000000-0005-0000-0000-00007E010000}"/>
    <cellStyle name="20% - Accent5 2 5 2" xfId="655" xr:uid="{00000000-0005-0000-0000-00007F010000}"/>
    <cellStyle name="20% - Accent5 2 5 2 2" xfId="1271" xr:uid="{00000000-0005-0000-0000-000080010000}"/>
    <cellStyle name="20% - Accent5 2 5 3" xfId="997" xr:uid="{00000000-0005-0000-0000-000081010000}"/>
    <cellStyle name="20% - Accent5 2 6" xfId="381" xr:uid="{00000000-0005-0000-0000-000082010000}"/>
    <cellStyle name="20% - Accent5 2 6 2" xfId="687" xr:uid="{00000000-0005-0000-0000-000083010000}"/>
    <cellStyle name="20% - Accent5 2 6 3" xfId="1303" xr:uid="{00000000-0005-0000-0000-000084010000}"/>
    <cellStyle name="20% - Accent5 2 7" xfId="233" xr:uid="{00000000-0005-0000-0000-000085010000}"/>
    <cellStyle name="20% - Accent5 2 7 2" xfId="1155" xr:uid="{00000000-0005-0000-0000-000086010000}"/>
    <cellStyle name="20% - Accent5 2 8" xfId="539" xr:uid="{00000000-0005-0000-0000-000087010000}"/>
    <cellStyle name="20% - Accent5 2 9" xfId="843" xr:uid="{00000000-0005-0000-0000-000088010000}"/>
    <cellStyle name="20% - Accent5 3" xfId="76" xr:uid="{00000000-0005-0000-0000-000089010000}"/>
    <cellStyle name="20% - Accent5 3 2" xfId="281" xr:uid="{00000000-0005-0000-0000-00008A010000}"/>
    <cellStyle name="20% - Accent5 3 2 2" xfId="587" xr:uid="{00000000-0005-0000-0000-00008B010000}"/>
    <cellStyle name="20% - Accent5 3 2 2 2" xfId="1203" xr:uid="{00000000-0005-0000-0000-00008C010000}"/>
    <cellStyle name="20% - Accent5 3 2 3" xfId="1012" xr:uid="{00000000-0005-0000-0000-00008D010000}"/>
    <cellStyle name="20% - Accent5 3 3" xfId="396" xr:uid="{00000000-0005-0000-0000-00008E010000}"/>
    <cellStyle name="20% - Accent5 3 3 2" xfId="702" xr:uid="{00000000-0005-0000-0000-00008F010000}"/>
    <cellStyle name="20% - Accent5 3 3 3" xfId="1318" xr:uid="{00000000-0005-0000-0000-000090010000}"/>
    <cellStyle name="20% - Accent5 3 4" xfId="217" xr:uid="{00000000-0005-0000-0000-000091010000}"/>
    <cellStyle name="20% - Accent5 3 4 2" xfId="1139" xr:uid="{00000000-0005-0000-0000-000092010000}"/>
    <cellStyle name="20% - Accent5 3 5" xfId="523" xr:uid="{00000000-0005-0000-0000-000093010000}"/>
    <cellStyle name="20% - Accent5 3 6" xfId="858" xr:uid="{00000000-0005-0000-0000-000094010000}"/>
    <cellStyle name="20% - Accent5 4" xfId="108" xr:uid="{00000000-0005-0000-0000-000095010000}"/>
    <cellStyle name="20% - Accent5 4 2" xfId="428" xr:uid="{00000000-0005-0000-0000-000096010000}"/>
    <cellStyle name="20% - Accent5 4 2 2" xfId="734" xr:uid="{00000000-0005-0000-0000-000097010000}"/>
    <cellStyle name="20% - Accent5 4 2 2 2" xfId="1350" xr:uid="{00000000-0005-0000-0000-000098010000}"/>
    <cellStyle name="20% - Accent5 4 2 3" xfId="1044" xr:uid="{00000000-0005-0000-0000-000099010000}"/>
    <cellStyle name="20% - Accent5 4 3" xfId="250" xr:uid="{00000000-0005-0000-0000-00009A010000}"/>
    <cellStyle name="20% - Accent5 4 3 2" xfId="1172" xr:uid="{00000000-0005-0000-0000-00009B010000}"/>
    <cellStyle name="20% - Accent5 4 4" xfId="556" xr:uid="{00000000-0005-0000-0000-00009C010000}"/>
    <cellStyle name="20% - Accent5 4 5" xfId="890" xr:uid="{00000000-0005-0000-0000-00009D010000}"/>
    <cellStyle name="20% - Accent5 5" xfId="139" xr:uid="{00000000-0005-0000-0000-00009E010000}"/>
    <cellStyle name="20% - Accent5 5 2" xfId="459" xr:uid="{00000000-0005-0000-0000-00009F010000}"/>
    <cellStyle name="20% - Accent5 5 2 2" xfId="765" xr:uid="{00000000-0005-0000-0000-0000A0010000}"/>
    <cellStyle name="20% - Accent5 5 2 2 2" xfId="1381" xr:uid="{00000000-0005-0000-0000-0000A1010000}"/>
    <cellStyle name="20% - Accent5 5 2 3" xfId="1075" xr:uid="{00000000-0005-0000-0000-0000A2010000}"/>
    <cellStyle name="20% - Accent5 5 3" xfId="333" xr:uid="{00000000-0005-0000-0000-0000A3010000}"/>
    <cellStyle name="20% - Accent5 5 3 2" xfId="1255" xr:uid="{00000000-0005-0000-0000-0000A4010000}"/>
    <cellStyle name="20% - Accent5 5 4" xfId="639" xr:uid="{00000000-0005-0000-0000-0000A5010000}"/>
    <cellStyle name="20% - Accent5 5 5" xfId="921" xr:uid="{00000000-0005-0000-0000-0000A6010000}"/>
    <cellStyle name="20% - Accent5 6" xfId="154" xr:uid="{00000000-0005-0000-0000-0000A7010000}"/>
    <cellStyle name="20% - Accent5 6 2" xfId="474" xr:uid="{00000000-0005-0000-0000-0000A8010000}"/>
    <cellStyle name="20% - Accent5 6 2 2" xfId="1090" xr:uid="{00000000-0005-0000-0000-0000A9010000}"/>
    <cellStyle name="20% - Accent5 6 3" xfId="780" xr:uid="{00000000-0005-0000-0000-0000AA010000}"/>
    <cellStyle name="20% - Accent5 6 3 2" xfId="1396" xr:uid="{00000000-0005-0000-0000-0000AB010000}"/>
    <cellStyle name="20% - Accent5 6 4" xfId="936" xr:uid="{00000000-0005-0000-0000-0000AC010000}"/>
    <cellStyle name="20% - Accent5 7" xfId="185" xr:uid="{00000000-0005-0000-0000-0000AD010000}"/>
    <cellStyle name="20% - Accent5 7 2" xfId="365" xr:uid="{00000000-0005-0000-0000-0000AE010000}"/>
    <cellStyle name="20% - Accent5 7 2 2" xfId="1287" xr:uid="{00000000-0005-0000-0000-0000AF010000}"/>
    <cellStyle name="20% - Accent5 7 3" xfId="671" xr:uid="{00000000-0005-0000-0000-0000B0010000}"/>
    <cellStyle name="20% - Accent5 7 4" xfId="967" xr:uid="{00000000-0005-0000-0000-0000B1010000}"/>
    <cellStyle name="20% - Accent5 8" xfId="200" xr:uid="{00000000-0005-0000-0000-0000B2010000}"/>
    <cellStyle name="20% - Accent5 8 2" xfId="811" xr:uid="{00000000-0005-0000-0000-0000B3010000}"/>
    <cellStyle name="20% - Accent5 8 2 2" xfId="1427" xr:uid="{00000000-0005-0000-0000-0000B4010000}"/>
    <cellStyle name="20% - Accent5 8 3" xfId="982" xr:uid="{00000000-0005-0000-0000-0000B5010000}"/>
    <cellStyle name="20% - Accent5 9" xfId="506" xr:uid="{00000000-0005-0000-0000-0000B6010000}"/>
    <cellStyle name="20% - Accent5 9 2" xfId="1122" xr:uid="{00000000-0005-0000-0000-0000B7010000}"/>
    <cellStyle name="20% - Accent6" xfId="46" builtinId="50" customBuiltin="1"/>
    <cellStyle name="20% - Accent6 10" xfId="829" xr:uid="{00000000-0005-0000-0000-0000B9010000}"/>
    <cellStyle name="20% - Accent6 2" xfId="63" xr:uid="{00000000-0005-0000-0000-0000BA010000}"/>
    <cellStyle name="20% - Accent6 2 2" xfId="94" xr:uid="{00000000-0005-0000-0000-0000BB010000}"/>
    <cellStyle name="20% - Accent6 2 2 2" xfId="414" xr:uid="{00000000-0005-0000-0000-0000BC010000}"/>
    <cellStyle name="20% - Accent6 2 2 2 2" xfId="720" xr:uid="{00000000-0005-0000-0000-0000BD010000}"/>
    <cellStyle name="20% - Accent6 2 2 2 2 2" xfId="1336" xr:uid="{00000000-0005-0000-0000-0000BE010000}"/>
    <cellStyle name="20% - Accent6 2 2 2 3" xfId="1030" xr:uid="{00000000-0005-0000-0000-0000BF010000}"/>
    <cellStyle name="20% - Accent6 2 2 3" xfId="299" xr:uid="{00000000-0005-0000-0000-0000C0010000}"/>
    <cellStyle name="20% - Accent6 2 2 3 2" xfId="1221" xr:uid="{00000000-0005-0000-0000-0000C1010000}"/>
    <cellStyle name="20% - Accent6 2 2 4" xfId="605" xr:uid="{00000000-0005-0000-0000-0000C2010000}"/>
    <cellStyle name="20% - Accent6 2 2 5" xfId="876" xr:uid="{00000000-0005-0000-0000-0000C3010000}"/>
    <cellStyle name="20% - Accent6 2 3" xfId="126" xr:uid="{00000000-0005-0000-0000-0000C4010000}"/>
    <cellStyle name="20% - Accent6 2 3 2" xfId="446" xr:uid="{00000000-0005-0000-0000-0000C5010000}"/>
    <cellStyle name="20% - Accent6 2 3 2 2" xfId="752" xr:uid="{00000000-0005-0000-0000-0000C6010000}"/>
    <cellStyle name="20% - Accent6 2 3 2 2 2" xfId="1368" xr:uid="{00000000-0005-0000-0000-0000C7010000}"/>
    <cellStyle name="20% - Accent6 2 3 2 3" xfId="1062" xr:uid="{00000000-0005-0000-0000-0000C8010000}"/>
    <cellStyle name="20% - Accent6 2 3 3" xfId="319" xr:uid="{00000000-0005-0000-0000-0000C9010000}"/>
    <cellStyle name="20% - Accent6 2 3 3 2" xfId="1241" xr:uid="{00000000-0005-0000-0000-0000CA010000}"/>
    <cellStyle name="20% - Accent6 2 3 4" xfId="625" xr:uid="{00000000-0005-0000-0000-0000CB010000}"/>
    <cellStyle name="20% - Accent6 2 3 5" xfId="908" xr:uid="{00000000-0005-0000-0000-0000CC010000}"/>
    <cellStyle name="20% - Accent6 2 4" xfId="172" xr:uid="{00000000-0005-0000-0000-0000CD010000}"/>
    <cellStyle name="20% - Accent6 2 4 2" xfId="492" xr:uid="{00000000-0005-0000-0000-0000CE010000}"/>
    <cellStyle name="20% - Accent6 2 4 2 2" xfId="798" xr:uid="{00000000-0005-0000-0000-0000CF010000}"/>
    <cellStyle name="20% - Accent6 2 4 2 2 2" xfId="1414" xr:uid="{00000000-0005-0000-0000-0000D0010000}"/>
    <cellStyle name="20% - Accent6 2 4 2 3" xfId="1108" xr:uid="{00000000-0005-0000-0000-0000D1010000}"/>
    <cellStyle name="20% - Accent6 2 4 3" xfId="268" xr:uid="{00000000-0005-0000-0000-0000D2010000}"/>
    <cellStyle name="20% - Accent6 2 4 3 2" xfId="1190" xr:uid="{00000000-0005-0000-0000-0000D3010000}"/>
    <cellStyle name="20% - Accent6 2 4 4" xfId="574" xr:uid="{00000000-0005-0000-0000-0000D4010000}"/>
    <cellStyle name="20% - Accent6 2 4 5" xfId="954" xr:uid="{00000000-0005-0000-0000-0000D5010000}"/>
    <cellStyle name="20% - Accent6 2 5" xfId="351" xr:uid="{00000000-0005-0000-0000-0000D6010000}"/>
    <cellStyle name="20% - Accent6 2 5 2" xfId="657" xr:uid="{00000000-0005-0000-0000-0000D7010000}"/>
    <cellStyle name="20% - Accent6 2 5 2 2" xfId="1273" xr:uid="{00000000-0005-0000-0000-0000D8010000}"/>
    <cellStyle name="20% - Accent6 2 5 3" xfId="999" xr:uid="{00000000-0005-0000-0000-0000D9010000}"/>
    <cellStyle name="20% - Accent6 2 6" xfId="383" xr:uid="{00000000-0005-0000-0000-0000DA010000}"/>
    <cellStyle name="20% - Accent6 2 6 2" xfId="689" xr:uid="{00000000-0005-0000-0000-0000DB010000}"/>
    <cellStyle name="20% - Accent6 2 6 3" xfId="1305" xr:uid="{00000000-0005-0000-0000-0000DC010000}"/>
    <cellStyle name="20% - Accent6 2 7" xfId="235" xr:uid="{00000000-0005-0000-0000-0000DD010000}"/>
    <cellStyle name="20% - Accent6 2 7 2" xfId="1157" xr:uid="{00000000-0005-0000-0000-0000DE010000}"/>
    <cellStyle name="20% - Accent6 2 8" xfId="541" xr:uid="{00000000-0005-0000-0000-0000DF010000}"/>
    <cellStyle name="20% - Accent6 2 9" xfId="845" xr:uid="{00000000-0005-0000-0000-0000E0010000}"/>
    <cellStyle name="20% - Accent6 3" xfId="78" xr:uid="{00000000-0005-0000-0000-0000E1010000}"/>
    <cellStyle name="20% - Accent6 3 2" xfId="283" xr:uid="{00000000-0005-0000-0000-0000E2010000}"/>
    <cellStyle name="20% - Accent6 3 2 2" xfId="589" xr:uid="{00000000-0005-0000-0000-0000E3010000}"/>
    <cellStyle name="20% - Accent6 3 2 2 2" xfId="1205" xr:uid="{00000000-0005-0000-0000-0000E4010000}"/>
    <cellStyle name="20% - Accent6 3 2 3" xfId="1014" xr:uid="{00000000-0005-0000-0000-0000E5010000}"/>
    <cellStyle name="20% - Accent6 3 3" xfId="398" xr:uid="{00000000-0005-0000-0000-0000E6010000}"/>
    <cellStyle name="20% - Accent6 3 3 2" xfId="704" xr:uid="{00000000-0005-0000-0000-0000E7010000}"/>
    <cellStyle name="20% - Accent6 3 3 3" xfId="1320" xr:uid="{00000000-0005-0000-0000-0000E8010000}"/>
    <cellStyle name="20% - Accent6 3 4" xfId="219" xr:uid="{00000000-0005-0000-0000-0000E9010000}"/>
    <cellStyle name="20% - Accent6 3 4 2" xfId="1141" xr:uid="{00000000-0005-0000-0000-0000EA010000}"/>
    <cellStyle name="20% - Accent6 3 5" xfId="525" xr:uid="{00000000-0005-0000-0000-0000EB010000}"/>
    <cellStyle name="20% - Accent6 3 6" xfId="860" xr:uid="{00000000-0005-0000-0000-0000EC010000}"/>
    <cellStyle name="20% - Accent6 4" xfId="110" xr:uid="{00000000-0005-0000-0000-0000ED010000}"/>
    <cellStyle name="20% - Accent6 4 2" xfId="430" xr:uid="{00000000-0005-0000-0000-0000EE010000}"/>
    <cellStyle name="20% - Accent6 4 2 2" xfId="736" xr:uid="{00000000-0005-0000-0000-0000EF010000}"/>
    <cellStyle name="20% - Accent6 4 2 2 2" xfId="1352" xr:uid="{00000000-0005-0000-0000-0000F0010000}"/>
    <cellStyle name="20% - Accent6 4 2 3" xfId="1046" xr:uid="{00000000-0005-0000-0000-0000F1010000}"/>
    <cellStyle name="20% - Accent6 4 3" xfId="252" xr:uid="{00000000-0005-0000-0000-0000F2010000}"/>
    <cellStyle name="20% - Accent6 4 3 2" xfId="1174" xr:uid="{00000000-0005-0000-0000-0000F3010000}"/>
    <cellStyle name="20% - Accent6 4 4" xfId="558" xr:uid="{00000000-0005-0000-0000-0000F4010000}"/>
    <cellStyle name="20% - Accent6 4 5" xfId="892" xr:uid="{00000000-0005-0000-0000-0000F5010000}"/>
    <cellStyle name="20% - Accent6 5" xfId="141" xr:uid="{00000000-0005-0000-0000-0000F6010000}"/>
    <cellStyle name="20% - Accent6 5 2" xfId="461" xr:uid="{00000000-0005-0000-0000-0000F7010000}"/>
    <cellStyle name="20% - Accent6 5 2 2" xfId="767" xr:uid="{00000000-0005-0000-0000-0000F8010000}"/>
    <cellStyle name="20% - Accent6 5 2 2 2" xfId="1383" xr:uid="{00000000-0005-0000-0000-0000F9010000}"/>
    <cellStyle name="20% - Accent6 5 2 3" xfId="1077" xr:uid="{00000000-0005-0000-0000-0000FA010000}"/>
    <cellStyle name="20% - Accent6 5 3" xfId="335" xr:uid="{00000000-0005-0000-0000-0000FB010000}"/>
    <cellStyle name="20% - Accent6 5 3 2" xfId="1257" xr:uid="{00000000-0005-0000-0000-0000FC010000}"/>
    <cellStyle name="20% - Accent6 5 4" xfId="641" xr:uid="{00000000-0005-0000-0000-0000FD010000}"/>
    <cellStyle name="20% - Accent6 5 5" xfId="923" xr:uid="{00000000-0005-0000-0000-0000FE010000}"/>
    <cellStyle name="20% - Accent6 6" xfId="156" xr:uid="{00000000-0005-0000-0000-0000FF010000}"/>
    <cellStyle name="20% - Accent6 6 2" xfId="476" xr:uid="{00000000-0005-0000-0000-000000020000}"/>
    <cellStyle name="20% - Accent6 6 2 2" xfId="1092" xr:uid="{00000000-0005-0000-0000-000001020000}"/>
    <cellStyle name="20% - Accent6 6 3" xfId="782" xr:uid="{00000000-0005-0000-0000-000002020000}"/>
    <cellStyle name="20% - Accent6 6 3 2" xfId="1398" xr:uid="{00000000-0005-0000-0000-000003020000}"/>
    <cellStyle name="20% - Accent6 6 4" xfId="938" xr:uid="{00000000-0005-0000-0000-000004020000}"/>
    <cellStyle name="20% - Accent6 7" xfId="187" xr:uid="{00000000-0005-0000-0000-000005020000}"/>
    <cellStyle name="20% - Accent6 7 2" xfId="367" xr:uid="{00000000-0005-0000-0000-000006020000}"/>
    <cellStyle name="20% - Accent6 7 2 2" xfId="1289" xr:uid="{00000000-0005-0000-0000-000007020000}"/>
    <cellStyle name="20% - Accent6 7 3" xfId="673" xr:uid="{00000000-0005-0000-0000-000008020000}"/>
    <cellStyle name="20% - Accent6 7 4" xfId="969" xr:uid="{00000000-0005-0000-0000-000009020000}"/>
    <cellStyle name="20% - Accent6 8" xfId="202" xr:uid="{00000000-0005-0000-0000-00000A020000}"/>
    <cellStyle name="20% - Accent6 8 2" xfId="813" xr:uid="{00000000-0005-0000-0000-00000B020000}"/>
    <cellStyle name="20% - Accent6 8 2 2" xfId="1429" xr:uid="{00000000-0005-0000-0000-00000C020000}"/>
    <cellStyle name="20% - Accent6 8 3" xfId="975" xr:uid="{00000000-0005-0000-0000-00000D020000}"/>
    <cellStyle name="20% - Accent6 9" xfId="508" xr:uid="{00000000-0005-0000-0000-00000E020000}"/>
    <cellStyle name="20% - Accent6 9 2" xfId="1124" xr:uid="{00000000-0005-0000-0000-00000F020000}"/>
    <cellStyle name="40% - Accent1" xfId="27" builtinId="31" customBuiltin="1"/>
    <cellStyle name="40% - Accent1 10" xfId="819" xr:uid="{00000000-0005-0000-0000-000011020000}"/>
    <cellStyle name="40% - Accent1 2" xfId="54" xr:uid="{00000000-0005-0000-0000-000012020000}"/>
    <cellStyle name="40% - Accent1 2 2" xfId="85" xr:uid="{00000000-0005-0000-0000-000013020000}"/>
    <cellStyle name="40% - Accent1 2 2 2" xfId="405" xr:uid="{00000000-0005-0000-0000-000014020000}"/>
    <cellStyle name="40% - Accent1 2 2 2 2" xfId="711" xr:uid="{00000000-0005-0000-0000-000015020000}"/>
    <cellStyle name="40% - Accent1 2 2 2 2 2" xfId="1327" xr:uid="{00000000-0005-0000-0000-000016020000}"/>
    <cellStyle name="40% - Accent1 2 2 2 3" xfId="1021" xr:uid="{00000000-0005-0000-0000-000017020000}"/>
    <cellStyle name="40% - Accent1 2 2 3" xfId="290" xr:uid="{00000000-0005-0000-0000-000018020000}"/>
    <cellStyle name="40% - Accent1 2 2 3 2" xfId="1212" xr:uid="{00000000-0005-0000-0000-000019020000}"/>
    <cellStyle name="40% - Accent1 2 2 4" xfId="596" xr:uid="{00000000-0005-0000-0000-00001A020000}"/>
    <cellStyle name="40% - Accent1 2 2 5" xfId="867" xr:uid="{00000000-0005-0000-0000-00001B020000}"/>
    <cellStyle name="40% - Accent1 2 3" xfId="117" xr:uid="{00000000-0005-0000-0000-00001C020000}"/>
    <cellStyle name="40% - Accent1 2 3 2" xfId="437" xr:uid="{00000000-0005-0000-0000-00001D020000}"/>
    <cellStyle name="40% - Accent1 2 3 2 2" xfId="743" xr:uid="{00000000-0005-0000-0000-00001E020000}"/>
    <cellStyle name="40% - Accent1 2 3 2 2 2" xfId="1359" xr:uid="{00000000-0005-0000-0000-00001F020000}"/>
    <cellStyle name="40% - Accent1 2 3 2 3" xfId="1053" xr:uid="{00000000-0005-0000-0000-000020020000}"/>
    <cellStyle name="40% - Accent1 2 3 3" xfId="310" xr:uid="{00000000-0005-0000-0000-000021020000}"/>
    <cellStyle name="40% - Accent1 2 3 3 2" xfId="1232" xr:uid="{00000000-0005-0000-0000-000022020000}"/>
    <cellStyle name="40% - Accent1 2 3 4" xfId="616" xr:uid="{00000000-0005-0000-0000-000023020000}"/>
    <cellStyle name="40% - Accent1 2 3 5" xfId="899" xr:uid="{00000000-0005-0000-0000-000024020000}"/>
    <cellStyle name="40% - Accent1 2 4" xfId="163" xr:uid="{00000000-0005-0000-0000-000025020000}"/>
    <cellStyle name="40% - Accent1 2 4 2" xfId="483" xr:uid="{00000000-0005-0000-0000-000026020000}"/>
    <cellStyle name="40% - Accent1 2 4 2 2" xfId="789" xr:uid="{00000000-0005-0000-0000-000027020000}"/>
    <cellStyle name="40% - Accent1 2 4 2 2 2" xfId="1405" xr:uid="{00000000-0005-0000-0000-000028020000}"/>
    <cellStyle name="40% - Accent1 2 4 2 3" xfId="1099" xr:uid="{00000000-0005-0000-0000-000029020000}"/>
    <cellStyle name="40% - Accent1 2 4 3" xfId="259" xr:uid="{00000000-0005-0000-0000-00002A020000}"/>
    <cellStyle name="40% - Accent1 2 4 3 2" xfId="1181" xr:uid="{00000000-0005-0000-0000-00002B020000}"/>
    <cellStyle name="40% - Accent1 2 4 4" xfId="565" xr:uid="{00000000-0005-0000-0000-00002C020000}"/>
    <cellStyle name="40% - Accent1 2 4 5" xfId="945" xr:uid="{00000000-0005-0000-0000-00002D020000}"/>
    <cellStyle name="40% - Accent1 2 5" xfId="342" xr:uid="{00000000-0005-0000-0000-00002E020000}"/>
    <cellStyle name="40% - Accent1 2 5 2" xfId="648" xr:uid="{00000000-0005-0000-0000-00002F020000}"/>
    <cellStyle name="40% - Accent1 2 5 2 2" xfId="1264" xr:uid="{00000000-0005-0000-0000-000030020000}"/>
    <cellStyle name="40% - Accent1 2 5 3" xfId="990" xr:uid="{00000000-0005-0000-0000-000031020000}"/>
    <cellStyle name="40% - Accent1 2 6" xfId="374" xr:uid="{00000000-0005-0000-0000-000032020000}"/>
    <cellStyle name="40% - Accent1 2 6 2" xfId="680" xr:uid="{00000000-0005-0000-0000-000033020000}"/>
    <cellStyle name="40% - Accent1 2 6 3" xfId="1296" xr:uid="{00000000-0005-0000-0000-000034020000}"/>
    <cellStyle name="40% - Accent1 2 7" xfId="226" xr:uid="{00000000-0005-0000-0000-000035020000}"/>
    <cellStyle name="40% - Accent1 2 7 2" xfId="1148" xr:uid="{00000000-0005-0000-0000-000036020000}"/>
    <cellStyle name="40% - Accent1 2 8" xfId="532" xr:uid="{00000000-0005-0000-0000-000037020000}"/>
    <cellStyle name="40% - Accent1 2 9" xfId="836" xr:uid="{00000000-0005-0000-0000-000038020000}"/>
    <cellStyle name="40% - Accent1 3" xfId="69" xr:uid="{00000000-0005-0000-0000-000039020000}"/>
    <cellStyle name="40% - Accent1 3 2" xfId="274" xr:uid="{00000000-0005-0000-0000-00003A020000}"/>
    <cellStyle name="40% - Accent1 3 2 2" xfId="580" xr:uid="{00000000-0005-0000-0000-00003B020000}"/>
    <cellStyle name="40% - Accent1 3 2 2 2" xfId="1196" xr:uid="{00000000-0005-0000-0000-00003C020000}"/>
    <cellStyle name="40% - Accent1 3 2 3" xfId="1005" xr:uid="{00000000-0005-0000-0000-00003D020000}"/>
    <cellStyle name="40% - Accent1 3 3" xfId="389" xr:uid="{00000000-0005-0000-0000-00003E020000}"/>
    <cellStyle name="40% - Accent1 3 3 2" xfId="695" xr:uid="{00000000-0005-0000-0000-00003F020000}"/>
    <cellStyle name="40% - Accent1 3 3 3" xfId="1311" xr:uid="{00000000-0005-0000-0000-000040020000}"/>
    <cellStyle name="40% - Accent1 3 4" xfId="210" xr:uid="{00000000-0005-0000-0000-000041020000}"/>
    <cellStyle name="40% - Accent1 3 4 2" xfId="1132" xr:uid="{00000000-0005-0000-0000-000042020000}"/>
    <cellStyle name="40% - Accent1 3 5" xfId="516" xr:uid="{00000000-0005-0000-0000-000043020000}"/>
    <cellStyle name="40% - Accent1 3 6" xfId="851" xr:uid="{00000000-0005-0000-0000-000044020000}"/>
    <cellStyle name="40% - Accent1 4" xfId="101" xr:uid="{00000000-0005-0000-0000-000045020000}"/>
    <cellStyle name="40% - Accent1 4 2" xfId="421" xr:uid="{00000000-0005-0000-0000-000046020000}"/>
    <cellStyle name="40% - Accent1 4 2 2" xfId="727" xr:uid="{00000000-0005-0000-0000-000047020000}"/>
    <cellStyle name="40% - Accent1 4 2 2 2" xfId="1343" xr:uid="{00000000-0005-0000-0000-000048020000}"/>
    <cellStyle name="40% - Accent1 4 2 3" xfId="1037" xr:uid="{00000000-0005-0000-0000-000049020000}"/>
    <cellStyle name="40% - Accent1 4 3" xfId="243" xr:uid="{00000000-0005-0000-0000-00004A020000}"/>
    <cellStyle name="40% - Accent1 4 3 2" xfId="1165" xr:uid="{00000000-0005-0000-0000-00004B020000}"/>
    <cellStyle name="40% - Accent1 4 4" xfId="549" xr:uid="{00000000-0005-0000-0000-00004C020000}"/>
    <cellStyle name="40% - Accent1 4 5" xfId="883" xr:uid="{00000000-0005-0000-0000-00004D020000}"/>
    <cellStyle name="40% - Accent1 5" xfId="132" xr:uid="{00000000-0005-0000-0000-00004E020000}"/>
    <cellStyle name="40% - Accent1 5 2" xfId="452" xr:uid="{00000000-0005-0000-0000-00004F020000}"/>
    <cellStyle name="40% - Accent1 5 2 2" xfId="758" xr:uid="{00000000-0005-0000-0000-000050020000}"/>
    <cellStyle name="40% - Accent1 5 2 2 2" xfId="1374" xr:uid="{00000000-0005-0000-0000-000051020000}"/>
    <cellStyle name="40% - Accent1 5 2 3" xfId="1068" xr:uid="{00000000-0005-0000-0000-000052020000}"/>
    <cellStyle name="40% - Accent1 5 3" xfId="326" xr:uid="{00000000-0005-0000-0000-000053020000}"/>
    <cellStyle name="40% - Accent1 5 3 2" xfId="1248" xr:uid="{00000000-0005-0000-0000-000054020000}"/>
    <cellStyle name="40% - Accent1 5 4" xfId="632" xr:uid="{00000000-0005-0000-0000-000055020000}"/>
    <cellStyle name="40% - Accent1 5 5" xfId="914" xr:uid="{00000000-0005-0000-0000-000056020000}"/>
    <cellStyle name="40% - Accent1 6" xfId="147" xr:uid="{00000000-0005-0000-0000-000057020000}"/>
    <cellStyle name="40% - Accent1 6 2" xfId="467" xr:uid="{00000000-0005-0000-0000-000058020000}"/>
    <cellStyle name="40% - Accent1 6 2 2" xfId="1083" xr:uid="{00000000-0005-0000-0000-000059020000}"/>
    <cellStyle name="40% - Accent1 6 3" xfId="773" xr:uid="{00000000-0005-0000-0000-00005A020000}"/>
    <cellStyle name="40% - Accent1 6 3 2" xfId="1389" xr:uid="{00000000-0005-0000-0000-00005B020000}"/>
    <cellStyle name="40% - Accent1 6 4" xfId="929" xr:uid="{00000000-0005-0000-0000-00005C020000}"/>
    <cellStyle name="40% - Accent1 7" xfId="178" xr:uid="{00000000-0005-0000-0000-00005D020000}"/>
    <cellStyle name="40% - Accent1 7 2" xfId="358" xr:uid="{00000000-0005-0000-0000-00005E020000}"/>
    <cellStyle name="40% - Accent1 7 2 2" xfId="1280" xr:uid="{00000000-0005-0000-0000-00005F020000}"/>
    <cellStyle name="40% - Accent1 7 3" xfId="664" xr:uid="{00000000-0005-0000-0000-000060020000}"/>
    <cellStyle name="40% - Accent1 7 4" xfId="960" xr:uid="{00000000-0005-0000-0000-000061020000}"/>
    <cellStyle name="40% - Accent1 8" xfId="193" xr:uid="{00000000-0005-0000-0000-000062020000}"/>
    <cellStyle name="40% - Accent1 8 2" xfId="804" xr:uid="{00000000-0005-0000-0000-000063020000}"/>
    <cellStyle name="40% - Accent1 8 2 2" xfId="1420" xr:uid="{00000000-0005-0000-0000-000064020000}"/>
    <cellStyle name="40% - Accent1 8 3" xfId="974" xr:uid="{00000000-0005-0000-0000-000065020000}"/>
    <cellStyle name="40% - Accent1 9" xfId="499" xr:uid="{00000000-0005-0000-0000-000066020000}"/>
    <cellStyle name="40% - Accent1 9 2" xfId="1115" xr:uid="{00000000-0005-0000-0000-000067020000}"/>
    <cellStyle name="40% - Accent2" xfId="31" builtinId="35" customBuiltin="1"/>
    <cellStyle name="40% - Accent2 10" xfId="821" xr:uid="{00000000-0005-0000-0000-000069020000}"/>
    <cellStyle name="40% - Accent2 2" xfId="56" xr:uid="{00000000-0005-0000-0000-00006A020000}"/>
    <cellStyle name="40% - Accent2 2 2" xfId="87" xr:uid="{00000000-0005-0000-0000-00006B020000}"/>
    <cellStyle name="40% - Accent2 2 2 2" xfId="407" xr:uid="{00000000-0005-0000-0000-00006C020000}"/>
    <cellStyle name="40% - Accent2 2 2 2 2" xfId="713" xr:uid="{00000000-0005-0000-0000-00006D020000}"/>
    <cellStyle name="40% - Accent2 2 2 2 2 2" xfId="1329" xr:uid="{00000000-0005-0000-0000-00006E020000}"/>
    <cellStyle name="40% - Accent2 2 2 2 3" xfId="1023" xr:uid="{00000000-0005-0000-0000-00006F020000}"/>
    <cellStyle name="40% - Accent2 2 2 3" xfId="292" xr:uid="{00000000-0005-0000-0000-000070020000}"/>
    <cellStyle name="40% - Accent2 2 2 3 2" xfId="1214" xr:uid="{00000000-0005-0000-0000-000071020000}"/>
    <cellStyle name="40% - Accent2 2 2 4" xfId="598" xr:uid="{00000000-0005-0000-0000-000072020000}"/>
    <cellStyle name="40% - Accent2 2 2 5" xfId="869" xr:uid="{00000000-0005-0000-0000-000073020000}"/>
    <cellStyle name="40% - Accent2 2 3" xfId="119" xr:uid="{00000000-0005-0000-0000-000074020000}"/>
    <cellStyle name="40% - Accent2 2 3 2" xfId="439" xr:uid="{00000000-0005-0000-0000-000075020000}"/>
    <cellStyle name="40% - Accent2 2 3 2 2" xfId="745" xr:uid="{00000000-0005-0000-0000-000076020000}"/>
    <cellStyle name="40% - Accent2 2 3 2 2 2" xfId="1361" xr:uid="{00000000-0005-0000-0000-000077020000}"/>
    <cellStyle name="40% - Accent2 2 3 2 3" xfId="1055" xr:uid="{00000000-0005-0000-0000-000078020000}"/>
    <cellStyle name="40% - Accent2 2 3 3" xfId="312" xr:uid="{00000000-0005-0000-0000-000079020000}"/>
    <cellStyle name="40% - Accent2 2 3 3 2" xfId="1234" xr:uid="{00000000-0005-0000-0000-00007A020000}"/>
    <cellStyle name="40% - Accent2 2 3 4" xfId="618" xr:uid="{00000000-0005-0000-0000-00007B020000}"/>
    <cellStyle name="40% - Accent2 2 3 5" xfId="901" xr:uid="{00000000-0005-0000-0000-00007C020000}"/>
    <cellStyle name="40% - Accent2 2 4" xfId="165" xr:uid="{00000000-0005-0000-0000-00007D020000}"/>
    <cellStyle name="40% - Accent2 2 4 2" xfId="485" xr:uid="{00000000-0005-0000-0000-00007E020000}"/>
    <cellStyle name="40% - Accent2 2 4 2 2" xfId="791" xr:uid="{00000000-0005-0000-0000-00007F020000}"/>
    <cellStyle name="40% - Accent2 2 4 2 2 2" xfId="1407" xr:uid="{00000000-0005-0000-0000-000080020000}"/>
    <cellStyle name="40% - Accent2 2 4 2 3" xfId="1101" xr:uid="{00000000-0005-0000-0000-000081020000}"/>
    <cellStyle name="40% - Accent2 2 4 3" xfId="261" xr:uid="{00000000-0005-0000-0000-000082020000}"/>
    <cellStyle name="40% - Accent2 2 4 3 2" xfId="1183" xr:uid="{00000000-0005-0000-0000-000083020000}"/>
    <cellStyle name="40% - Accent2 2 4 4" xfId="567" xr:uid="{00000000-0005-0000-0000-000084020000}"/>
    <cellStyle name="40% - Accent2 2 4 5" xfId="947" xr:uid="{00000000-0005-0000-0000-000085020000}"/>
    <cellStyle name="40% - Accent2 2 5" xfId="344" xr:uid="{00000000-0005-0000-0000-000086020000}"/>
    <cellStyle name="40% - Accent2 2 5 2" xfId="650" xr:uid="{00000000-0005-0000-0000-000087020000}"/>
    <cellStyle name="40% - Accent2 2 5 2 2" xfId="1266" xr:uid="{00000000-0005-0000-0000-000088020000}"/>
    <cellStyle name="40% - Accent2 2 5 3" xfId="992" xr:uid="{00000000-0005-0000-0000-000089020000}"/>
    <cellStyle name="40% - Accent2 2 6" xfId="376" xr:uid="{00000000-0005-0000-0000-00008A020000}"/>
    <cellStyle name="40% - Accent2 2 6 2" xfId="682" xr:uid="{00000000-0005-0000-0000-00008B020000}"/>
    <cellStyle name="40% - Accent2 2 6 3" xfId="1298" xr:uid="{00000000-0005-0000-0000-00008C020000}"/>
    <cellStyle name="40% - Accent2 2 7" xfId="228" xr:uid="{00000000-0005-0000-0000-00008D020000}"/>
    <cellStyle name="40% - Accent2 2 7 2" xfId="1150" xr:uid="{00000000-0005-0000-0000-00008E020000}"/>
    <cellStyle name="40% - Accent2 2 8" xfId="534" xr:uid="{00000000-0005-0000-0000-00008F020000}"/>
    <cellStyle name="40% - Accent2 2 9" xfId="838" xr:uid="{00000000-0005-0000-0000-000090020000}"/>
    <cellStyle name="40% - Accent2 3" xfId="71" xr:uid="{00000000-0005-0000-0000-000091020000}"/>
    <cellStyle name="40% - Accent2 3 2" xfId="276" xr:uid="{00000000-0005-0000-0000-000092020000}"/>
    <cellStyle name="40% - Accent2 3 2 2" xfId="582" xr:uid="{00000000-0005-0000-0000-000093020000}"/>
    <cellStyle name="40% - Accent2 3 2 2 2" xfId="1198" xr:uid="{00000000-0005-0000-0000-000094020000}"/>
    <cellStyle name="40% - Accent2 3 2 3" xfId="1007" xr:uid="{00000000-0005-0000-0000-000095020000}"/>
    <cellStyle name="40% - Accent2 3 3" xfId="391" xr:uid="{00000000-0005-0000-0000-000096020000}"/>
    <cellStyle name="40% - Accent2 3 3 2" xfId="697" xr:uid="{00000000-0005-0000-0000-000097020000}"/>
    <cellStyle name="40% - Accent2 3 3 3" xfId="1313" xr:uid="{00000000-0005-0000-0000-000098020000}"/>
    <cellStyle name="40% - Accent2 3 4" xfId="212" xr:uid="{00000000-0005-0000-0000-000099020000}"/>
    <cellStyle name="40% - Accent2 3 4 2" xfId="1134" xr:uid="{00000000-0005-0000-0000-00009A020000}"/>
    <cellStyle name="40% - Accent2 3 5" xfId="518" xr:uid="{00000000-0005-0000-0000-00009B020000}"/>
    <cellStyle name="40% - Accent2 3 6" xfId="853" xr:uid="{00000000-0005-0000-0000-00009C020000}"/>
    <cellStyle name="40% - Accent2 4" xfId="103" xr:uid="{00000000-0005-0000-0000-00009D020000}"/>
    <cellStyle name="40% - Accent2 4 2" xfId="423" xr:uid="{00000000-0005-0000-0000-00009E020000}"/>
    <cellStyle name="40% - Accent2 4 2 2" xfId="729" xr:uid="{00000000-0005-0000-0000-00009F020000}"/>
    <cellStyle name="40% - Accent2 4 2 2 2" xfId="1345" xr:uid="{00000000-0005-0000-0000-0000A0020000}"/>
    <cellStyle name="40% - Accent2 4 2 3" xfId="1039" xr:uid="{00000000-0005-0000-0000-0000A1020000}"/>
    <cellStyle name="40% - Accent2 4 3" xfId="245" xr:uid="{00000000-0005-0000-0000-0000A2020000}"/>
    <cellStyle name="40% - Accent2 4 3 2" xfId="1167" xr:uid="{00000000-0005-0000-0000-0000A3020000}"/>
    <cellStyle name="40% - Accent2 4 4" xfId="551" xr:uid="{00000000-0005-0000-0000-0000A4020000}"/>
    <cellStyle name="40% - Accent2 4 5" xfId="885" xr:uid="{00000000-0005-0000-0000-0000A5020000}"/>
    <cellStyle name="40% - Accent2 5" xfId="134" xr:uid="{00000000-0005-0000-0000-0000A6020000}"/>
    <cellStyle name="40% - Accent2 5 2" xfId="454" xr:uid="{00000000-0005-0000-0000-0000A7020000}"/>
    <cellStyle name="40% - Accent2 5 2 2" xfId="760" xr:uid="{00000000-0005-0000-0000-0000A8020000}"/>
    <cellStyle name="40% - Accent2 5 2 2 2" xfId="1376" xr:uid="{00000000-0005-0000-0000-0000A9020000}"/>
    <cellStyle name="40% - Accent2 5 2 3" xfId="1070" xr:uid="{00000000-0005-0000-0000-0000AA020000}"/>
    <cellStyle name="40% - Accent2 5 3" xfId="328" xr:uid="{00000000-0005-0000-0000-0000AB020000}"/>
    <cellStyle name="40% - Accent2 5 3 2" xfId="1250" xr:uid="{00000000-0005-0000-0000-0000AC020000}"/>
    <cellStyle name="40% - Accent2 5 4" xfId="634" xr:uid="{00000000-0005-0000-0000-0000AD020000}"/>
    <cellStyle name="40% - Accent2 5 5" xfId="916" xr:uid="{00000000-0005-0000-0000-0000AE020000}"/>
    <cellStyle name="40% - Accent2 6" xfId="149" xr:uid="{00000000-0005-0000-0000-0000AF020000}"/>
    <cellStyle name="40% - Accent2 6 2" xfId="469" xr:uid="{00000000-0005-0000-0000-0000B0020000}"/>
    <cellStyle name="40% - Accent2 6 2 2" xfId="1085" xr:uid="{00000000-0005-0000-0000-0000B1020000}"/>
    <cellStyle name="40% - Accent2 6 3" xfId="775" xr:uid="{00000000-0005-0000-0000-0000B2020000}"/>
    <cellStyle name="40% - Accent2 6 3 2" xfId="1391" xr:uid="{00000000-0005-0000-0000-0000B3020000}"/>
    <cellStyle name="40% - Accent2 6 4" xfId="931" xr:uid="{00000000-0005-0000-0000-0000B4020000}"/>
    <cellStyle name="40% - Accent2 7" xfId="180" xr:uid="{00000000-0005-0000-0000-0000B5020000}"/>
    <cellStyle name="40% - Accent2 7 2" xfId="360" xr:uid="{00000000-0005-0000-0000-0000B6020000}"/>
    <cellStyle name="40% - Accent2 7 2 2" xfId="1282" xr:uid="{00000000-0005-0000-0000-0000B7020000}"/>
    <cellStyle name="40% - Accent2 7 3" xfId="666" xr:uid="{00000000-0005-0000-0000-0000B8020000}"/>
    <cellStyle name="40% - Accent2 7 4" xfId="962" xr:uid="{00000000-0005-0000-0000-0000B9020000}"/>
    <cellStyle name="40% - Accent2 8" xfId="195" xr:uid="{00000000-0005-0000-0000-0000BA020000}"/>
    <cellStyle name="40% - Accent2 8 2" xfId="806" xr:uid="{00000000-0005-0000-0000-0000BB020000}"/>
    <cellStyle name="40% - Accent2 8 2 2" xfId="1422" xr:uid="{00000000-0005-0000-0000-0000BC020000}"/>
    <cellStyle name="40% - Accent2 8 3" xfId="977" xr:uid="{00000000-0005-0000-0000-0000BD020000}"/>
    <cellStyle name="40% - Accent2 9" xfId="501" xr:uid="{00000000-0005-0000-0000-0000BE020000}"/>
    <cellStyle name="40% - Accent2 9 2" xfId="1117" xr:uid="{00000000-0005-0000-0000-0000BF020000}"/>
    <cellStyle name="40% - Accent3" xfId="35" builtinId="39" customBuiltin="1"/>
    <cellStyle name="40% - Accent3 10" xfId="824" xr:uid="{00000000-0005-0000-0000-0000C1020000}"/>
    <cellStyle name="40% - Accent3 2" xfId="58" xr:uid="{00000000-0005-0000-0000-0000C2020000}"/>
    <cellStyle name="40% - Accent3 2 2" xfId="89" xr:uid="{00000000-0005-0000-0000-0000C3020000}"/>
    <cellStyle name="40% - Accent3 2 2 2" xfId="409" xr:uid="{00000000-0005-0000-0000-0000C4020000}"/>
    <cellStyle name="40% - Accent3 2 2 2 2" xfId="715" xr:uid="{00000000-0005-0000-0000-0000C5020000}"/>
    <cellStyle name="40% - Accent3 2 2 2 2 2" xfId="1331" xr:uid="{00000000-0005-0000-0000-0000C6020000}"/>
    <cellStyle name="40% - Accent3 2 2 2 3" xfId="1025" xr:uid="{00000000-0005-0000-0000-0000C7020000}"/>
    <cellStyle name="40% - Accent3 2 2 3" xfId="294" xr:uid="{00000000-0005-0000-0000-0000C8020000}"/>
    <cellStyle name="40% - Accent3 2 2 3 2" xfId="1216" xr:uid="{00000000-0005-0000-0000-0000C9020000}"/>
    <cellStyle name="40% - Accent3 2 2 4" xfId="600" xr:uid="{00000000-0005-0000-0000-0000CA020000}"/>
    <cellStyle name="40% - Accent3 2 2 5" xfId="871" xr:uid="{00000000-0005-0000-0000-0000CB020000}"/>
    <cellStyle name="40% - Accent3 2 3" xfId="121" xr:uid="{00000000-0005-0000-0000-0000CC020000}"/>
    <cellStyle name="40% - Accent3 2 3 2" xfId="441" xr:uid="{00000000-0005-0000-0000-0000CD020000}"/>
    <cellStyle name="40% - Accent3 2 3 2 2" xfId="747" xr:uid="{00000000-0005-0000-0000-0000CE020000}"/>
    <cellStyle name="40% - Accent3 2 3 2 2 2" xfId="1363" xr:uid="{00000000-0005-0000-0000-0000CF020000}"/>
    <cellStyle name="40% - Accent3 2 3 2 3" xfId="1057" xr:uid="{00000000-0005-0000-0000-0000D0020000}"/>
    <cellStyle name="40% - Accent3 2 3 3" xfId="314" xr:uid="{00000000-0005-0000-0000-0000D1020000}"/>
    <cellStyle name="40% - Accent3 2 3 3 2" xfId="1236" xr:uid="{00000000-0005-0000-0000-0000D2020000}"/>
    <cellStyle name="40% - Accent3 2 3 4" xfId="620" xr:uid="{00000000-0005-0000-0000-0000D3020000}"/>
    <cellStyle name="40% - Accent3 2 3 5" xfId="903" xr:uid="{00000000-0005-0000-0000-0000D4020000}"/>
    <cellStyle name="40% - Accent3 2 4" xfId="167" xr:uid="{00000000-0005-0000-0000-0000D5020000}"/>
    <cellStyle name="40% - Accent3 2 4 2" xfId="487" xr:uid="{00000000-0005-0000-0000-0000D6020000}"/>
    <cellStyle name="40% - Accent3 2 4 2 2" xfId="793" xr:uid="{00000000-0005-0000-0000-0000D7020000}"/>
    <cellStyle name="40% - Accent3 2 4 2 2 2" xfId="1409" xr:uid="{00000000-0005-0000-0000-0000D8020000}"/>
    <cellStyle name="40% - Accent3 2 4 2 3" xfId="1103" xr:uid="{00000000-0005-0000-0000-0000D9020000}"/>
    <cellStyle name="40% - Accent3 2 4 3" xfId="263" xr:uid="{00000000-0005-0000-0000-0000DA020000}"/>
    <cellStyle name="40% - Accent3 2 4 3 2" xfId="1185" xr:uid="{00000000-0005-0000-0000-0000DB020000}"/>
    <cellStyle name="40% - Accent3 2 4 4" xfId="569" xr:uid="{00000000-0005-0000-0000-0000DC020000}"/>
    <cellStyle name="40% - Accent3 2 4 5" xfId="949" xr:uid="{00000000-0005-0000-0000-0000DD020000}"/>
    <cellStyle name="40% - Accent3 2 5" xfId="346" xr:uid="{00000000-0005-0000-0000-0000DE020000}"/>
    <cellStyle name="40% - Accent3 2 5 2" xfId="652" xr:uid="{00000000-0005-0000-0000-0000DF020000}"/>
    <cellStyle name="40% - Accent3 2 5 2 2" xfId="1268" xr:uid="{00000000-0005-0000-0000-0000E0020000}"/>
    <cellStyle name="40% - Accent3 2 5 3" xfId="994" xr:uid="{00000000-0005-0000-0000-0000E1020000}"/>
    <cellStyle name="40% - Accent3 2 6" xfId="378" xr:uid="{00000000-0005-0000-0000-0000E2020000}"/>
    <cellStyle name="40% - Accent3 2 6 2" xfId="684" xr:uid="{00000000-0005-0000-0000-0000E3020000}"/>
    <cellStyle name="40% - Accent3 2 6 3" xfId="1300" xr:uid="{00000000-0005-0000-0000-0000E4020000}"/>
    <cellStyle name="40% - Accent3 2 7" xfId="230" xr:uid="{00000000-0005-0000-0000-0000E5020000}"/>
    <cellStyle name="40% - Accent3 2 7 2" xfId="1152" xr:uid="{00000000-0005-0000-0000-0000E6020000}"/>
    <cellStyle name="40% - Accent3 2 8" xfId="536" xr:uid="{00000000-0005-0000-0000-0000E7020000}"/>
    <cellStyle name="40% - Accent3 2 9" xfId="840" xr:uid="{00000000-0005-0000-0000-0000E8020000}"/>
    <cellStyle name="40% - Accent3 3" xfId="73" xr:uid="{00000000-0005-0000-0000-0000E9020000}"/>
    <cellStyle name="40% - Accent3 3 2" xfId="278" xr:uid="{00000000-0005-0000-0000-0000EA020000}"/>
    <cellStyle name="40% - Accent3 3 2 2" xfId="584" xr:uid="{00000000-0005-0000-0000-0000EB020000}"/>
    <cellStyle name="40% - Accent3 3 2 2 2" xfId="1200" xr:uid="{00000000-0005-0000-0000-0000EC020000}"/>
    <cellStyle name="40% - Accent3 3 2 3" xfId="1009" xr:uid="{00000000-0005-0000-0000-0000ED020000}"/>
    <cellStyle name="40% - Accent3 3 3" xfId="393" xr:uid="{00000000-0005-0000-0000-0000EE020000}"/>
    <cellStyle name="40% - Accent3 3 3 2" xfId="699" xr:uid="{00000000-0005-0000-0000-0000EF020000}"/>
    <cellStyle name="40% - Accent3 3 3 3" xfId="1315" xr:uid="{00000000-0005-0000-0000-0000F0020000}"/>
    <cellStyle name="40% - Accent3 3 4" xfId="214" xr:uid="{00000000-0005-0000-0000-0000F1020000}"/>
    <cellStyle name="40% - Accent3 3 4 2" xfId="1136" xr:uid="{00000000-0005-0000-0000-0000F2020000}"/>
    <cellStyle name="40% - Accent3 3 5" xfId="520" xr:uid="{00000000-0005-0000-0000-0000F3020000}"/>
    <cellStyle name="40% - Accent3 3 6" xfId="855" xr:uid="{00000000-0005-0000-0000-0000F4020000}"/>
    <cellStyle name="40% - Accent3 4" xfId="105" xr:uid="{00000000-0005-0000-0000-0000F5020000}"/>
    <cellStyle name="40% - Accent3 4 2" xfId="425" xr:uid="{00000000-0005-0000-0000-0000F6020000}"/>
    <cellStyle name="40% - Accent3 4 2 2" xfId="731" xr:uid="{00000000-0005-0000-0000-0000F7020000}"/>
    <cellStyle name="40% - Accent3 4 2 2 2" xfId="1347" xr:uid="{00000000-0005-0000-0000-0000F8020000}"/>
    <cellStyle name="40% - Accent3 4 2 3" xfId="1041" xr:uid="{00000000-0005-0000-0000-0000F9020000}"/>
    <cellStyle name="40% - Accent3 4 3" xfId="247" xr:uid="{00000000-0005-0000-0000-0000FA020000}"/>
    <cellStyle name="40% - Accent3 4 3 2" xfId="1169" xr:uid="{00000000-0005-0000-0000-0000FB020000}"/>
    <cellStyle name="40% - Accent3 4 4" xfId="553" xr:uid="{00000000-0005-0000-0000-0000FC020000}"/>
    <cellStyle name="40% - Accent3 4 5" xfId="887" xr:uid="{00000000-0005-0000-0000-0000FD020000}"/>
    <cellStyle name="40% - Accent3 5" xfId="136" xr:uid="{00000000-0005-0000-0000-0000FE020000}"/>
    <cellStyle name="40% - Accent3 5 2" xfId="456" xr:uid="{00000000-0005-0000-0000-0000FF020000}"/>
    <cellStyle name="40% - Accent3 5 2 2" xfId="762" xr:uid="{00000000-0005-0000-0000-000000030000}"/>
    <cellStyle name="40% - Accent3 5 2 2 2" xfId="1378" xr:uid="{00000000-0005-0000-0000-000001030000}"/>
    <cellStyle name="40% - Accent3 5 2 3" xfId="1072" xr:uid="{00000000-0005-0000-0000-000002030000}"/>
    <cellStyle name="40% - Accent3 5 3" xfId="330" xr:uid="{00000000-0005-0000-0000-000003030000}"/>
    <cellStyle name="40% - Accent3 5 3 2" xfId="1252" xr:uid="{00000000-0005-0000-0000-000004030000}"/>
    <cellStyle name="40% - Accent3 5 4" xfId="636" xr:uid="{00000000-0005-0000-0000-000005030000}"/>
    <cellStyle name="40% - Accent3 5 5" xfId="918" xr:uid="{00000000-0005-0000-0000-000006030000}"/>
    <cellStyle name="40% - Accent3 6" xfId="151" xr:uid="{00000000-0005-0000-0000-000007030000}"/>
    <cellStyle name="40% - Accent3 6 2" xfId="471" xr:uid="{00000000-0005-0000-0000-000008030000}"/>
    <cellStyle name="40% - Accent3 6 2 2" xfId="1087" xr:uid="{00000000-0005-0000-0000-000009030000}"/>
    <cellStyle name="40% - Accent3 6 3" xfId="777" xr:uid="{00000000-0005-0000-0000-00000A030000}"/>
    <cellStyle name="40% - Accent3 6 3 2" xfId="1393" xr:uid="{00000000-0005-0000-0000-00000B030000}"/>
    <cellStyle name="40% - Accent3 6 4" xfId="933" xr:uid="{00000000-0005-0000-0000-00000C030000}"/>
    <cellStyle name="40% - Accent3 7" xfId="182" xr:uid="{00000000-0005-0000-0000-00000D030000}"/>
    <cellStyle name="40% - Accent3 7 2" xfId="362" xr:uid="{00000000-0005-0000-0000-00000E030000}"/>
    <cellStyle name="40% - Accent3 7 2 2" xfId="1284" xr:uid="{00000000-0005-0000-0000-00000F030000}"/>
    <cellStyle name="40% - Accent3 7 3" xfId="668" xr:uid="{00000000-0005-0000-0000-000010030000}"/>
    <cellStyle name="40% - Accent3 7 4" xfId="964" xr:uid="{00000000-0005-0000-0000-000011030000}"/>
    <cellStyle name="40% - Accent3 8" xfId="197" xr:uid="{00000000-0005-0000-0000-000012030000}"/>
    <cellStyle name="40% - Accent3 8 2" xfId="808" xr:uid="{00000000-0005-0000-0000-000013030000}"/>
    <cellStyle name="40% - Accent3 8 2 2" xfId="1424" xr:uid="{00000000-0005-0000-0000-000014030000}"/>
    <cellStyle name="40% - Accent3 8 3" xfId="822" xr:uid="{00000000-0005-0000-0000-000015030000}"/>
    <cellStyle name="40% - Accent3 9" xfId="503" xr:uid="{00000000-0005-0000-0000-000016030000}"/>
    <cellStyle name="40% - Accent3 9 2" xfId="1119" xr:uid="{00000000-0005-0000-0000-000017030000}"/>
    <cellStyle name="40% - Accent4" xfId="39" builtinId="43" customBuiltin="1"/>
    <cellStyle name="40% - Accent4 10" xfId="826" xr:uid="{00000000-0005-0000-0000-000019030000}"/>
    <cellStyle name="40% - Accent4 2" xfId="60" xr:uid="{00000000-0005-0000-0000-00001A030000}"/>
    <cellStyle name="40% - Accent4 2 2" xfId="91" xr:uid="{00000000-0005-0000-0000-00001B030000}"/>
    <cellStyle name="40% - Accent4 2 2 2" xfId="411" xr:uid="{00000000-0005-0000-0000-00001C030000}"/>
    <cellStyle name="40% - Accent4 2 2 2 2" xfId="717" xr:uid="{00000000-0005-0000-0000-00001D030000}"/>
    <cellStyle name="40% - Accent4 2 2 2 2 2" xfId="1333" xr:uid="{00000000-0005-0000-0000-00001E030000}"/>
    <cellStyle name="40% - Accent4 2 2 2 3" xfId="1027" xr:uid="{00000000-0005-0000-0000-00001F030000}"/>
    <cellStyle name="40% - Accent4 2 2 3" xfId="296" xr:uid="{00000000-0005-0000-0000-000020030000}"/>
    <cellStyle name="40% - Accent4 2 2 3 2" xfId="1218" xr:uid="{00000000-0005-0000-0000-000021030000}"/>
    <cellStyle name="40% - Accent4 2 2 4" xfId="602" xr:uid="{00000000-0005-0000-0000-000022030000}"/>
    <cellStyle name="40% - Accent4 2 2 5" xfId="873" xr:uid="{00000000-0005-0000-0000-000023030000}"/>
    <cellStyle name="40% - Accent4 2 3" xfId="123" xr:uid="{00000000-0005-0000-0000-000024030000}"/>
    <cellStyle name="40% - Accent4 2 3 2" xfId="443" xr:uid="{00000000-0005-0000-0000-000025030000}"/>
    <cellStyle name="40% - Accent4 2 3 2 2" xfId="749" xr:uid="{00000000-0005-0000-0000-000026030000}"/>
    <cellStyle name="40% - Accent4 2 3 2 2 2" xfId="1365" xr:uid="{00000000-0005-0000-0000-000027030000}"/>
    <cellStyle name="40% - Accent4 2 3 2 3" xfId="1059" xr:uid="{00000000-0005-0000-0000-000028030000}"/>
    <cellStyle name="40% - Accent4 2 3 3" xfId="316" xr:uid="{00000000-0005-0000-0000-000029030000}"/>
    <cellStyle name="40% - Accent4 2 3 3 2" xfId="1238" xr:uid="{00000000-0005-0000-0000-00002A030000}"/>
    <cellStyle name="40% - Accent4 2 3 4" xfId="622" xr:uid="{00000000-0005-0000-0000-00002B030000}"/>
    <cellStyle name="40% - Accent4 2 3 5" xfId="905" xr:uid="{00000000-0005-0000-0000-00002C030000}"/>
    <cellStyle name="40% - Accent4 2 4" xfId="169" xr:uid="{00000000-0005-0000-0000-00002D030000}"/>
    <cellStyle name="40% - Accent4 2 4 2" xfId="489" xr:uid="{00000000-0005-0000-0000-00002E030000}"/>
    <cellStyle name="40% - Accent4 2 4 2 2" xfId="795" xr:uid="{00000000-0005-0000-0000-00002F030000}"/>
    <cellStyle name="40% - Accent4 2 4 2 2 2" xfId="1411" xr:uid="{00000000-0005-0000-0000-000030030000}"/>
    <cellStyle name="40% - Accent4 2 4 2 3" xfId="1105" xr:uid="{00000000-0005-0000-0000-000031030000}"/>
    <cellStyle name="40% - Accent4 2 4 3" xfId="265" xr:uid="{00000000-0005-0000-0000-000032030000}"/>
    <cellStyle name="40% - Accent4 2 4 3 2" xfId="1187" xr:uid="{00000000-0005-0000-0000-000033030000}"/>
    <cellStyle name="40% - Accent4 2 4 4" xfId="571" xr:uid="{00000000-0005-0000-0000-000034030000}"/>
    <cellStyle name="40% - Accent4 2 4 5" xfId="951" xr:uid="{00000000-0005-0000-0000-000035030000}"/>
    <cellStyle name="40% - Accent4 2 5" xfId="348" xr:uid="{00000000-0005-0000-0000-000036030000}"/>
    <cellStyle name="40% - Accent4 2 5 2" xfId="654" xr:uid="{00000000-0005-0000-0000-000037030000}"/>
    <cellStyle name="40% - Accent4 2 5 2 2" xfId="1270" xr:uid="{00000000-0005-0000-0000-000038030000}"/>
    <cellStyle name="40% - Accent4 2 5 3" xfId="996" xr:uid="{00000000-0005-0000-0000-000039030000}"/>
    <cellStyle name="40% - Accent4 2 6" xfId="380" xr:uid="{00000000-0005-0000-0000-00003A030000}"/>
    <cellStyle name="40% - Accent4 2 6 2" xfId="686" xr:uid="{00000000-0005-0000-0000-00003B030000}"/>
    <cellStyle name="40% - Accent4 2 6 3" xfId="1302" xr:uid="{00000000-0005-0000-0000-00003C030000}"/>
    <cellStyle name="40% - Accent4 2 7" xfId="232" xr:uid="{00000000-0005-0000-0000-00003D030000}"/>
    <cellStyle name="40% - Accent4 2 7 2" xfId="1154" xr:uid="{00000000-0005-0000-0000-00003E030000}"/>
    <cellStyle name="40% - Accent4 2 8" xfId="538" xr:uid="{00000000-0005-0000-0000-00003F030000}"/>
    <cellStyle name="40% - Accent4 2 9" xfId="842" xr:uid="{00000000-0005-0000-0000-000040030000}"/>
    <cellStyle name="40% - Accent4 3" xfId="75" xr:uid="{00000000-0005-0000-0000-000041030000}"/>
    <cellStyle name="40% - Accent4 3 2" xfId="280" xr:uid="{00000000-0005-0000-0000-000042030000}"/>
    <cellStyle name="40% - Accent4 3 2 2" xfId="586" xr:uid="{00000000-0005-0000-0000-000043030000}"/>
    <cellStyle name="40% - Accent4 3 2 2 2" xfId="1202" xr:uid="{00000000-0005-0000-0000-000044030000}"/>
    <cellStyle name="40% - Accent4 3 2 3" xfId="1011" xr:uid="{00000000-0005-0000-0000-000045030000}"/>
    <cellStyle name="40% - Accent4 3 3" xfId="395" xr:uid="{00000000-0005-0000-0000-000046030000}"/>
    <cellStyle name="40% - Accent4 3 3 2" xfId="701" xr:uid="{00000000-0005-0000-0000-000047030000}"/>
    <cellStyle name="40% - Accent4 3 3 3" xfId="1317" xr:uid="{00000000-0005-0000-0000-000048030000}"/>
    <cellStyle name="40% - Accent4 3 4" xfId="216" xr:uid="{00000000-0005-0000-0000-000049030000}"/>
    <cellStyle name="40% - Accent4 3 4 2" xfId="1138" xr:uid="{00000000-0005-0000-0000-00004A030000}"/>
    <cellStyle name="40% - Accent4 3 5" xfId="522" xr:uid="{00000000-0005-0000-0000-00004B030000}"/>
    <cellStyle name="40% - Accent4 3 6" xfId="857" xr:uid="{00000000-0005-0000-0000-00004C030000}"/>
    <cellStyle name="40% - Accent4 4" xfId="107" xr:uid="{00000000-0005-0000-0000-00004D030000}"/>
    <cellStyle name="40% - Accent4 4 2" xfId="427" xr:uid="{00000000-0005-0000-0000-00004E030000}"/>
    <cellStyle name="40% - Accent4 4 2 2" xfId="733" xr:uid="{00000000-0005-0000-0000-00004F030000}"/>
    <cellStyle name="40% - Accent4 4 2 2 2" xfId="1349" xr:uid="{00000000-0005-0000-0000-000050030000}"/>
    <cellStyle name="40% - Accent4 4 2 3" xfId="1043" xr:uid="{00000000-0005-0000-0000-000051030000}"/>
    <cellStyle name="40% - Accent4 4 3" xfId="249" xr:uid="{00000000-0005-0000-0000-000052030000}"/>
    <cellStyle name="40% - Accent4 4 3 2" xfId="1171" xr:uid="{00000000-0005-0000-0000-000053030000}"/>
    <cellStyle name="40% - Accent4 4 4" xfId="555" xr:uid="{00000000-0005-0000-0000-000054030000}"/>
    <cellStyle name="40% - Accent4 4 5" xfId="889" xr:uid="{00000000-0005-0000-0000-000055030000}"/>
    <cellStyle name="40% - Accent4 5" xfId="138" xr:uid="{00000000-0005-0000-0000-000056030000}"/>
    <cellStyle name="40% - Accent4 5 2" xfId="458" xr:uid="{00000000-0005-0000-0000-000057030000}"/>
    <cellStyle name="40% - Accent4 5 2 2" xfId="764" xr:uid="{00000000-0005-0000-0000-000058030000}"/>
    <cellStyle name="40% - Accent4 5 2 2 2" xfId="1380" xr:uid="{00000000-0005-0000-0000-000059030000}"/>
    <cellStyle name="40% - Accent4 5 2 3" xfId="1074" xr:uid="{00000000-0005-0000-0000-00005A030000}"/>
    <cellStyle name="40% - Accent4 5 3" xfId="332" xr:uid="{00000000-0005-0000-0000-00005B030000}"/>
    <cellStyle name="40% - Accent4 5 3 2" xfId="1254" xr:uid="{00000000-0005-0000-0000-00005C030000}"/>
    <cellStyle name="40% - Accent4 5 4" xfId="638" xr:uid="{00000000-0005-0000-0000-00005D030000}"/>
    <cellStyle name="40% - Accent4 5 5" xfId="920" xr:uid="{00000000-0005-0000-0000-00005E030000}"/>
    <cellStyle name="40% - Accent4 6" xfId="153" xr:uid="{00000000-0005-0000-0000-00005F030000}"/>
    <cellStyle name="40% - Accent4 6 2" xfId="473" xr:uid="{00000000-0005-0000-0000-000060030000}"/>
    <cellStyle name="40% - Accent4 6 2 2" xfId="1089" xr:uid="{00000000-0005-0000-0000-000061030000}"/>
    <cellStyle name="40% - Accent4 6 3" xfId="779" xr:uid="{00000000-0005-0000-0000-000062030000}"/>
    <cellStyle name="40% - Accent4 6 3 2" xfId="1395" xr:uid="{00000000-0005-0000-0000-000063030000}"/>
    <cellStyle name="40% - Accent4 6 4" xfId="935" xr:uid="{00000000-0005-0000-0000-000064030000}"/>
    <cellStyle name="40% - Accent4 7" xfId="184" xr:uid="{00000000-0005-0000-0000-000065030000}"/>
    <cellStyle name="40% - Accent4 7 2" xfId="364" xr:uid="{00000000-0005-0000-0000-000066030000}"/>
    <cellStyle name="40% - Accent4 7 2 2" xfId="1286" xr:uid="{00000000-0005-0000-0000-000067030000}"/>
    <cellStyle name="40% - Accent4 7 3" xfId="670" xr:uid="{00000000-0005-0000-0000-000068030000}"/>
    <cellStyle name="40% - Accent4 7 4" xfId="966" xr:uid="{00000000-0005-0000-0000-000069030000}"/>
    <cellStyle name="40% - Accent4 8" xfId="199" xr:uid="{00000000-0005-0000-0000-00006A030000}"/>
    <cellStyle name="40% - Accent4 8 2" xfId="810" xr:uid="{00000000-0005-0000-0000-00006B030000}"/>
    <cellStyle name="40% - Accent4 8 2 2" xfId="1426" xr:uid="{00000000-0005-0000-0000-00006C030000}"/>
    <cellStyle name="40% - Accent4 8 3" xfId="978" xr:uid="{00000000-0005-0000-0000-00006D030000}"/>
    <cellStyle name="40% - Accent4 9" xfId="505" xr:uid="{00000000-0005-0000-0000-00006E030000}"/>
    <cellStyle name="40% - Accent4 9 2" xfId="1121" xr:uid="{00000000-0005-0000-0000-00006F030000}"/>
    <cellStyle name="40% - Accent5" xfId="43" builtinId="47" customBuiltin="1"/>
    <cellStyle name="40% - Accent5 10" xfId="828" xr:uid="{00000000-0005-0000-0000-000071030000}"/>
    <cellStyle name="40% - Accent5 2" xfId="62" xr:uid="{00000000-0005-0000-0000-000072030000}"/>
    <cellStyle name="40% - Accent5 2 2" xfId="93" xr:uid="{00000000-0005-0000-0000-000073030000}"/>
    <cellStyle name="40% - Accent5 2 2 2" xfId="413" xr:uid="{00000000-0005-0000-0000-000074030000}"/>
    <cellStyle name="40% - Accent5 2 2 2 2" xfId="719" xr:uid="{00000000-0005-0000-0000-000075030000}"/>
    <cellStyle name="40% - Accent5 2 2 2 2 2" xfId="1335" xr:uid="{00000000-0005-0000-0000-000076030000}"/>
    <cellStyle name="40% - Accent5 2 2 2 3" xfId="1029" xr:uid="{00000000-0005-0000-0000-000077030000}"/>
    <cellStyle name="40% - Accent5 2 2 3" xfId="298" xr:uid="{00000000-0005-0000-0000-000078030000}"/>
    <cellStyle name="40% - Accent5 2 2 3 2" xfId="1220" xr:uid="{00000000-0005-0000-0000-000079030000}"/>
    <cellStyle name="40% - Accent5 2 2 4" xfId="604" xr:uid="{00000000-0005-0000-0000-00007A030000}"/>
    <cellStyle name="40% - Accent5 2 2 5" xfId="875" xr:uid="{00000000-0005-0000-0000-00007B030000}"/>
    <cellStyle name="40% - Accent5 2 3" xfId="125" xr:uid="{00000000-0005-0000-0000-00007C030000}"/>
    <cellStyle name="40% - Accent5 2 3 2" xfId="445" xr:uid="{00000000-0005-0000-0000-00007D030000}"/>
    <cellStyle name="40% - Accent5 2 3 2 2" xfId="751" xr:uid="{00000000-0005-0000-0000-00007E030000}"/>
    <cellStyle name="40% - Accent5 2 3 2 2 2" xfId="1367" xr:uid="{00000000-0005-0000-0000-00007F030000}"/>
    <cellStyle name="40% - Accent5 2 3 2 3" xfId="1061" xr:uid="{00000000-0005-0000-0000-000080030000}"/>
    <cellStyle name="40% - Accent5 2 3 3" xfId="318" xr:uid="{00000000-0005-0000-0000-000081030000}"/>
    <cellStyle name="40% - Accent5 2 3 3 2" xfId="1240" xr:uid="{00000000-0005-0000-0000-000082030000}"/>
    <cellStyle name="40% - Accent5 2 3 4" xfId="624" xr:uid="{00000000-0005-0000-0000-000083030000}"/>
    <cellStyle name="40% - Accent5 2 3 5" xfId="907" xr:uid="{00000000-0005-0000-0000-000084030000}"/>
    <cellStyle name="40% - Accent5 2 4" xfId="171" xr:uid="{00000000-0005-0000-0000-000085030000}"/>
    <cellStyle name="40% - Accent5 2 4 2" xfId="491" xr:uid="{00000000-0005-0000-0000-000086030000}"/>
    <cellStyle name="40% - Accent5 2 4 2 2" xfId="797" xr:uid="{00000000-0005-0000-0000-000087030000}"/>
    <cellStyle name="40% - Accent5 2 4 2 2 2" xfId="1413" xr:uid="{00000000-0005-0000-0000-000088030000}"/>
    <cellStyle name="40% - Accent5 2 4 2 3" xfId="1107" xr:uid="{00000000-0005-0000-0000-000089030000}"/>
    <cellStyle name="40% - Accent5 2 4 3" xfId="267" xr:uid="{00000000-0005-0000-0000-00008A030000}"/>
    <cellStyle name="40% - Accent5 2 4 3 2" xfId="1189" xr:uid="{00000000-0005-0000-0000-00008B030000}"/>
    <cellStyle name="40% - Accent5 2 4 4" xfId="573" xr:uid="{00000000-0005-0000-0000-00008C030000}"/>
    <cellStyle name="40% - Accent5 2 4 5" xfId="953" xr:uid="{00000000-0005-0000-0000-00008D030000}"/>
    <cellStyle name="40% - Accent5 2 5" xfId="350" xr:uid="{00000000-0005-0000-0000-00008E030000}"/>
    <cellStyle name="40% - Accent5 2 5 2" xfId="656" xr:uid="{00000000-0005-0000-0000-00008F030000}"/>
    <cellStyle name="40% - Accent5 2 5 2 2" xfId="1272" xr:uid="{00000000-0005-0000-0000-000090030000}"/>
    <cellStyle name="40% - Accent5 2 5 3" xfId="998" xr:uid="{00000000-0005-0000-0000-000091030000}"/>
    <cellStyle name="40% - Accent5 2 6" xfId="382" xr:uid="{00000000-0005-0000-0000-000092030000}"/>
    <cellStyle name="40% - Accent5 2 6 2" xfId="688" xr:uid="{00000000-0005-0000-0000-000093030000}"/>
    <cellStyle name="40% - Accent5 2 6 3" xfId="1304" xr:uid="{00000000-0005-0000-0000-000094030000}"/>
    <cellStyle name="40% - Accent5 2 7" xfId="234" xr:uid="{00000000-0005-0000-0000-000095030000}"/>
    <cellStyle name="40% - Accent5 2 7 2" xfId="1156" xr:uid="{00000000-0005-0000-0000-000096030000}"/>
    <cellStyle name="40% - Accent5 2 8" xfId="540" xr:uid="{00000000-0005-0000-0000-000097030000}"/>
    <cellStyle name="40% - Accent5 2 9" xfId="844" xr:uid="{00000000-0005-0000-0000-000098030000}"/>
    <cellStyle name="40% - Accent5 3" xfId="77" xr:uid="{00000000-0005-0000-0000-000099030000}"/>
    <cellStyle name="40% - Accent5 3 2" xfId="282" xr:uid="{00000000-0005-0000-0000-00009A030000}"/>
    <cellStyle name="40% - Accent5 3 2 2" xfId="588" xr:uid="{00000000-0005-0000-0000-00009B030000}"/>
    <cellStyle name="40% - Accent5 3 2 2 2" xfId="1204" xr:uid="{00000000-0005-0000-0000-00009C030000}"/>
    <cellStyle name="40% - Accent5 3 2 3" xfId="1013" xr:uid="{00000000-0005-0000-0000-00009D030000}"/>
    <cellStyle name="40% - Accent5 3 3" xfId="397" xr:uid="{00000000-0005-0000-0000-00009E030000}"/>
    <cellStyle name="40% - Accent5 3 3 2" xfId="703" xr:uid="{00000000-0005-0000-0000-00009F030000}"/>
    <cellStyle name="40% - Accent5 3 3 3" xfId="1319" xr:uid="{00000000-0005-0000-0000-0000A0030000}"/>
    <cellStyle name="40% - Accent5 3 4" xfId="218" xr:uid="{00000000-0005-0000-0000-0000A1030000}"/>
    <cellStyle name="40% - Accent5 3 4 2" xfId="1140" xr:uid="{00000000-0005-0000-0000-0000A2030000}"/>
    <cellStyle name="40% - Accent5 3 5" xfId="524" xr:uid="{00000000-0005-0000-0000-0000A3030000}"/>
    <cellStyle name="40% - Accent5 3 6" xfId="859" xr:uid="{00000000-0005-0000-0000-0000A4030000}"/>
    <cellStyle name="40% - Accent5 4" xfId="109" xr:uid="{00000000-0005-0000-0000-0000A5030000}"/>
    <cellStyle name="40% - Accent5 4 2" xfId="429" xr:uid="{00000000-0005-0000-0000-0000A6030000}"/>
    <cellStyle name="40% - Accent5 4 2 2" xfId="735" xr:uid="{00000000-0005-0000-0000-0000A7030000}"/>
    <cellStyle name="40% - Accent5 4 2 2 2" xfId="1351" xr:uid="{00000000-0005-0000-0000-0000A8030000}"/>
    <cellStyle name="40% - Accent5 4 2 3" xfId="1045" xr:uid="{00000000-0005-0000-0000-0000A9030000}"/>
    <cellStyle name="40% - Accent5 4 3" xfId="251" xr:uid="{00000000-0005-0000-0000-0000AA030000}"/>
    <cellStyle name="40% - Accent5 4 3 2" xfId="1173" xr:uid="{00000000-0005-0000-0000-0000AB030000}"/>
    <cellStyle name="40% - Accent5 4 4" xfId="557" xr:uid="{00000000-0005-0000-0000-0000AC030000}"/>
    <cellStyle name="40% - Accent5 4 5" xfId="891" xr:uid="{00000000-0005-0000-0000-0000AD030000}"/>
    <cellStyle name="40% - Accent5 5" xfId="140" xr:uid="{00000000-0005-0000-0000-0000AE030000}"/>
    <cellStyle name="40% - Accent5 5 2" xfId="460" xr:uid="{00000000-0005-0000-0000-0000AF030000}"/>
    <cellStyle name="40% - Accent5 5 2 2" xfId="766" xr:uid="{00000000-0005-0000-0000-0000B0030000}"/>
    <cellStyle name="40% - Accent5 5 2 2 2" xfId="1382" xr:uid="{00000000-0005-0000-0000-0000B1030000}"/>
    <cellStyle name="40% - Accent5 5 2 3" xfId="1076" xr:uid="{00000000-0005-0000-0000-0000B2030000}"/>
    <cellStyle name="40% - Accent5 5 3" xfId="334" xr:uid="{00000000-0005-0000-0000-0000B3030000}"/>
    <cellStyle name="40% - Accent5 5 3 2" xfId="1256" xr:uid="{00000000-0005-0000-0000-0000B4030000}"/>
    <cellStyle name="40% - Accent5 5 4" xfId="640" xr:uid="{00000000-0005-0000-0000-0000B5030000}"/>
    <cellStyle name="40% - Accent5 5 5" xfId="922" xr:uid="{00000000-0005-0000-0000-0000B6030000}"/>
    <cellStyle name="40% - Accent5 6" xfId="155" xr:uid="{00000000-0005-0000-0000-0000B7030000}"/>
    <cellStyle name="40% - Accent5 6 2" xfId="475" xr:uid="{00000000-0005-0000-0000-0000B8030000}"/>
    <cellStyle name="40% - Accent5 6 2 2" xfId="1091" xr:uid="{00000000-0005-0000-0000-0000B9030000}"/>
    <cellStyle name="40% - Accent5 6 3" xfId="781" xr:uid="{00000000-0005-0000-0000-0000BA030000}"/>
    <cellStyle name="40% - Accent5 6 3 2" xfId="1397" xr:uid="{00000000-0005-0000-0000-0000BB030000}"/>
    <cellStyle name="40% - Accent5 6 4" xfId="937" xr:uid="{00000000-0005-0000-0000-0000BC030000}"/>
    <cellStyle name="40% - Accent5 7" xfId="186" xr:uid="{00000000-0005-0000-0000-0000BD030000}"/>
    <cellStyle name="40% - Accent5 7 2" xfId="366" xr:uid="{00000000-0005-0000-0000-0000BE030000}"/>
    <cellStyle name="40% - Accent5 7 2 2" xfId="1288" xr:uid="{00000000-0005-0000-0000-0000BF030000}"/>
    <cellStyle name="40% - Accent5 7 3" xfId="672" xr:uid="{00000000-0005-0000-0000-0000C0030000}"/>
    <cellStyle name="40% - Accent5 7 4" xfId="968" xr:uid="{00000000-0005-0000-0000-0000C1030000}"/>
    <cellStyle name="40% - Accent5 8" xfId="201" xr:uid="{00000000-0005-0000-0000-0000C2030000}"/>
    <cellStyle name="40% - Accent5 8 2" xfId="812" xr:uid="{00000000-0005-0000-0000-0000C3030000}"/>
    <cellStyle name="40% - Accent5 8 2 2" xfId="1428" xr:uid="{00000000-0005-0000-0000-0000C4030000}"/>
    <cellStyle name="40% - Accent5 8 3" xfId="971" xr:uid="{00000000-0005-0000-0000-0000C5030000}"/>
    <cellStyle name="40% - Accent5 9" xfId="507" xr:uid="{00000000-0005-0000-0000-0000C6030000}"/>
    <cellStyle name="40% - Accent5 9 2" xfId="1123" xr:uid="{00000000-0005-0000-0000-0000C7030000}"/>
    <cellStyle name="40% - Accent6" xfId="47" builtinId="51" customBuiltin="1"/>
    <cellStyle name="40% - Accent6 10" xfId="830" xr:uid="{00000000-0005-0000-0000-0000C9030000}"/>
    <cellStyle name="40% - Accent6 2" xfId="64" xr:uid="{00000000-0005-0000-0000-0000CA030000}"/>
    <cellStyle name="40% - Accent6 2 2" xfId="95" xr:uid="{00000000-0005-0000-0000-0000CB030000}"/>
    <cellStyle name="40% - Accent6 2 2 2" xfId="415" xr:uid="{00000000-0005-0000-0000-0000CC030000}"/>
    <cellStyle name="40% - Accent6 2 2 2 2" xfId="721" xr:uid="{00000000-0005-0000-0000-0000CD030000}"/>
    <cellStyle name="40% - Accent6 2 2 2 2 2" xfId="1337" xr:uid="{00000000-0005-0000-0000-0000CE030000}"/>
    <cellStyle name="40% - Accent6 2 2 2 3" xfId="1031" xr:uid="{00000000-0005-0000-0000-0000CF030000}"/>
    <cellStyle name="40% - Accent6 2 2 3" xfId="300" xr:uid="{00000000-0005-0000-0000-0000D0030000}"/>
    <cellStyle name="40% - Accent6 2 2 3 2" xfId="1222" xr:uid="{00000000-0005-0000-0000-0000D1030000}"/>
    <cellStyle name="40% - Accent6 2 2 4" xfId="606" xr:uid="{00000000-0005-0000-0000-0000D2030000}"/>
    <cellStyle name="40% - Accent6 2 2 5" xfId="877" xr:uid="{00000000-0005-0000-0000-0000D3030000}"/>
    <cellStyle name="40% - Accent6 2 3" xfId="127" xr:uid="{00000000-0005-0000-0000-0000D4030000}"/>
    <cellStyle name="40% - Accent6 2 3 2" xfId="447" xr:uid="{00000000-0005-0000-0000-0000D5030000}"/>
    <cellStyle name="40% - Accent6 2 3 2 2" xfId="753" xr:uid="{00000000-0005-0000-0000-0000D6030000}"/>
    <cellStyle name="40% - Accent6 2 3 2 2 2" xfId="1369" xr:uid="{00000000-0005-0000-0000-0000D7030000}"/>
    <cellStyle name="40% - Accent6 2 3 2 3" xfId="1063" xr:uid="{00000000-0005-0000-0000-0000D8030000}"/>
    <cellStyle name="40% - Accent6 2 3 3" xfId="320" xr:uid="{00000000-0005-0000-0000-0000D9030000}"/>
    <cellStyle name="40% - Accent6 2 3 3 2" xfId="1242" xr:uid="{00000000-0005-0000-0000-0000DA030000}"/>
    <cellStyle name="40% - Accent6 2 3 4" xfId="626" xr:uid="{00000000-0005-0000-0000-0000DB030000}"/>
    <cellStyle name="40% - Accent6 2 3 5" xfId="909" xr:uid="{00000000-0005-0000-0000-0000DC030000}"/>
    <cellStyle name="40% - Accent6 2 4" xfId="173" xr:uid="{00000000-0005-0000-0000-0000DD030000}"/>
    <cellStyle name="40% - Accent6 2 4 2" xfId="493" xr:uid="{00000000-0005-0000-0000-0000DE030000}"/>
    <cellStyle name="40% - Accent6 2 4 2 2" xfId="799" xr:uid="{00000000-0005-0000-0000-0000DF030000}"/>
    <cellStyle name="40% - Accent6 2 4 2 2 2" xfId="1415" xr:uid="{00000000-0005-0000-0000-0000E0030000}"/>
    <cellStyle name="40% - Accent6 2 4 2 3" xfId="1109" xr:uid="{00000000-0005-0000-0000-0000E1030000}"/>
    <cellStyle name="40% - Accent6 2 4 3" xfId="269" xr:uid="{00000000-0005-0000-0000-0000E2030000}"/>
    <cellStyle name="40% - Accent6 2 4 3 2" xfId="1191" xr:uid="{00000000-0005-0000-0000-0000E3030000}"/>
    <cellStyle name="40% - Accent6 2 4 4" xfId="575" xr:uid="{00000000-0005-0000-0000-0000E4030000}"/>
    <cellStyle name="40% - Accent6 2 4 5" xfId="955" xr:uid="{00000000-0005-0000-0000-0000E5030000}"/>
    <cellStyle name="40% - Accent6 2 5" xfId="352" xr:uid="{00000000-0005-0000-0000-0000E6030000}"/>
    <cellStyle name="40% - Accent6 2 5 2" xfId="658" xr:uid="{00000000-0005-0000-0000-0000E7030000}"/>
    <cellStyle name="40% - Accent6 2 5 2 2" xfId="1274" xr:uid="{00000000-0005-0000-0000-0000E8030000}"/>
    <cellStyle name="40% - Accent6 2 5 3" xfId="1000" xr:uid="{00000000-0005-0000-0000-0000E9030000}"/>
    <cellStyle name="40% - Accent6 2 6" xfId="384" xr:uid="{00000000-0005-0000-0000-0000EA030000}"/>
    <cellStyle name="40% - Accent6 2 6 2" xfId="690" xr:uid="{00000000-0005-0000-0000-0000EB030000}"/>
    <cellStyle name="40% - Accent6 2 6 3" xfId="1306" xr:uid="{00000000-0005-0000-0000-0000EC030000}"/>
    <cellStyle name="40% - Accent6 2 7" xfId="236" xr:uid="{00000000-0005-0000-0000-0000ED030000}"/>
    <cellStyle name="40% - Accent6 2 7 2" xfId="1158" xr:uid="{00000000-0005-0000-0000-0000EE030000}"/>
    <cellStyle name="40% - Accent6 2 8" xfId="542" xr:uid="{00000000-0005-0000-0000-0000EF030000}"/>
    <cellStyle name="40% - Accent6 2 9" xfId="846" xr:uid="{00000000-0005-0000-0000-0000F0030000}"/>
    <cellStyle name="40% - Accent6 3" xfId="79" xr:uid="{00000000-0005-0000-0000-0000F1030000}"/>
    <cellStyle name="40% - Accent6 3 2" xfId="284" xr:uid="{00000000-0005-0000-0000-0000F2030000}"/>
    <cellStyle name="40% - Accent6 3 2 2" xfId="590" xr:uid="{00000000-0005-0000-0000-0000F3030000}"/>
    <cellStyle name="40% - Accent6 3 2 2 2" xfId="1206" xr:uid="{00000000-0005-0000-0000-0000F4030000}"/>
    <cellStyle name="40% - Accent6 3 2 3" xfId="1015" xr:uid="{00000000-0005-0000-0000-0000F5030000}"/>
    <cellStyle name="40% - Accent6 3 3" xfId="399" xr:uid="{00000000-0005-0000-0000-0000F6030000}"/>
    <cellStyle name="40% - Accent6 3 3 2" xfId="705" xr:uid="{00000000-0005-0000-0000-0000F7030000}"/>
    <cellStyle name="40% - Accent6 3 3 3" xfId="1321" xr:uid="{00000000-0005-0000-0000-0000F8030000}"/>
    <cellStyle name="40% - Accent6 3 4" xfId="220" xr:uid="{00000000-0005-0000-0000-0000F9030000}"/>
    <cellStyle name="40% - Accent6 3 4 2" xfId="1142" xr:uid="{00000000-0005-0000-0000-0000FA030000}"/>
    <cellStyle name="40% - Accent6 3 5" xfId="526" xr:uid="{00000000-0005-0000-0000-0000FB030000}"/>
    <cellStyle name="40% - Accent6 3 6" xfId="861" xr:uid="{00000000-0005-0000-0000-0000FC030000}"/>
    <cellStyle name="40% - Accent6 4" xfId="111" xr:uid="{00000000-0005-0000-0000-0000FD030000}"/>
    <cellStyle name="40% - Accent6 4 2" xfId="431" xr:uid="{00000000-0005-0000-0000-0000FE030000}"/>
    <cellStyle name="40% - Accent6 4 2 2" xfId="737" xr:uid="{00000000-0005-0000-0000-0000FF030000}"/>
    <cellStyle name="40% - Accent6 4 2 2 2" xfId="1353" xr:uid="{00000000-0005-0000-0000-000000040000}"/>
    <cellStyle name="40% - Accent6 4 2 3" xfId="1047" xr:uid="{00000000-0005-0000-0000-000001040000}"/>
    <cellStyle name="40% - Accent6 4 3" xfId="253" xr:uid="{00000000-0005-0000-0000-000002040000}"/>
    <cellStyle name="40% - Accent6 4 3 2" xfId="1175" xr:uid="{00000000-0005-0000-0000-000003040000}"/>
    <cellStyle name="40% - Accent6 4 4" xfId="559" xr:uid="{00000000-0005-0000-0000-000004040000}"/>
    <cellStyle name="40% - Accent6 4 5" xfId="893" xr:uid="{00000000-0005-0000-0000-000005040000}"/>
    <cellStyle name="40% - Accent6 5" xfId="142" xr:uid="{00000000-0005-0000-0000-000006040000}"/>
    <cellStyle name="40% - Accent6 5 2" xfId="462" xr:uid="{00000000-0005-0000-0000-000007040000}"/>
    <cellStyle name="40% - Accent6 5 2 2" xfId="768" xr:uid="{00000000-0005-0000-0000-000008040000}"/>
    <cellStyle name="40% - Accent6 5 2 2 2" xfId="1384" xr:uid="{00000000-0005-0000-0000-000009040000}"/>
    <cellStyle name="40% - Accent6 5 2 3" xfId="1078" xr:uid="{00000000-0005-0000-0000-00000A040000}"/>
    <cellStyle name="40% - Accent6 5 3" xfId="336" xr:uid="{00000000-0005-0000-0000-00000B040000}"/>
    <cellStyle name="40% - Accent6 5 3 2" xfId="1258" xr:uid="{00000000-0005-0000-0000-00000C040000}"/>
    <cellStyle name="40% - Accent6 5 4" xfId="642" xr:uid="{00000000-0005-0000-0000-00000D040000}"/>
    <cellStyle name="40% - Accent6 5 5" xfId="924" xr:uid="{00000000-0005-0000-0000-00000E040000}"/>
    <cellStyle name="40% - Accent6 6" xfId="157" xr:uid="{00000000-0005-0000-0000-00000F040000}"/>
    <cellStyle name="40% - Accent6 6 2" xfId="477" xr:uid="{00000000-0005-0000-0000-000010040000}"/>
    <cellStyle name="40% - Accent6 6 2 2" xfId="1093" xr:uid="{00000000-0005-0000-0000-000011040000}"/>
    <cellStyle name="40% - Accent6 6 3" xfId="783" xr:uid="{00000000-0005-0000-0000-000012040000}"/>
    <cellStyle name="40% - Accent6 6 3 2" xfId="1399" xr:uid="{00000000-0005-0000-0000-000013040000}"/>
    <cellStyle name="40% - Accent6 6 4" xfId="939" xr:uid="{00000000-0005-0000-0000-000014040000}"/>
    <cellStyle name="40% - Accent6 7" xfId="188" xr:uid="{00000000-0005-0000-0000-000015040000}"/>
    <cellStyle name="40% - Accent6 7 2" xfId="368" xr:uid="{00000000-0005-0000-0000-000016040000}"/>
    <cellStyle name="40% - Accent6 7 2 2" xfId="1290" xr:uid="{00000000-0005-0000-0000-000017040000}"/>
    <cellStyle name="40% - Accent6 7 3" xfId="674" xr:uid="{00000000-0005-0000-0000-000018040000}"/>
    <cellStyle name="40% - Accent6 7 4" xfId="970" xr:uid="{00000000-0005-0000-0000-000019040000}"/>
    <cellStyle name="40% - Accent6 8" xfId="203" xr:uid="{00000000-0005-0000-0000-00001A040000}"/>
    <cellStyle name="40% - Accent6 8 2" xfId="814" xr:uid="{00000000-0005-0000-0000-00001B040000}"/>
    <cellStyle name="40% - Accent6 8 2 2" xfId="1430" xr:uid="{00000000-0005-0000-0000-00001C040000}"/>
    <cellStyle name="40% - Accent6 8 3" xfId="984" xr:uid="{00000000-0005-0000-0000-00001D040000}"/>
    <cellStyle name="40% - Accent6 9" xfId="509" xr:uid="{00000000-0005-0000-0000-00001E040000}"/>
    <cellStyle name="40% - Accent6 9 2" xfId="1125" xr:uid="{00000000-0005-0000-0000-00001F040000}"/>
    <cellStyle name="60% - Accent1" xfId="28" builtinId="32" customBuiltin="1"/>
    <cellStyle name="60% - Accent2" xfId="32" builtinId="36" customBuiltin="1"/>
    <cellStyle name="60% - Accent3" xfId="36" builtinId="40" customBuiltin="1"/>
    <cellStyle name="60% - Accent4" xfId="40" builtinId="44" customBuiltin="1"/>
    <cellStyle name="60% - Accent5" xfId="44" builtinId="48" customBuiltin="1"/>
    <cellStyle name="60% - Accent6" xfId="48" builtinId="52" customBuiltin="1"/>
    <cellStyle name="Accent1" xfId="25" builtinId="29" customBuiltin="1"/>
    <cellStyle name="Accent2" xfId="29" builtinId="33" customBuiltin="1"/>
    <cellStyle name="Accent3" xfId="33" builtinId="37" customBuiltin="1"/>
    <cellStyle name="Accent4" xfId="37" builtinId="41" customBuiltin="1"/>
    <cellStyle name="Accent5" xfId="41" builtinId="45" customBuiltin="1"/>
    <cellStyle name="Accent6" xfId="45" builtinId="49" customBuiltin="1"/>
    <cellStyle name="Bad" xfId="15" builtinId="27" customBuiltin="1"/>
    <cellStyle name="Calculation" xfId="19" builtinId="22" customBuiltin="1"/>
    <cellStyle name="Check Cell" xfId="21" builtinId="23" customBuiltin="1"/>
    <cellStyle name="Explanatory Text" xfId="23" builtinId="53" customBuilti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Good" xfId="14" builtinId="26" customBuiltin="1"/>
    <cellStyle name="Heading 1" xfId="10" builtinId="16" customBuiltin="1"/>
    <cellStyle name="Heading 2" xfId="11" builtinId="17" customBuiltin="1"/>
    <cellStyle name="Heading 3" xfId="12" builtinId="18" customBuiltin="1"/>
    <cellStyle name="Heading 4" xfId="13" builtinId="19" customBuilti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Input" xfId="17" builtinId="20" customBuiltin="1"/>
    <cellStyle name="Linked Cell" xfId="20" builtinId="24" customBuiltin="1"/>
    <cellStyle name="Neutral" xfId="16" builtinId="28" customBuiltin="1"/>
    <cellStyle name="Normal" xfId="0" builtinId="0"/>
    <cellStyle name="Normal 2" xfId="1" xr:uid="{00000000-0005-0000-0000-0000BD040000}"/>
    <cellStyle name="Normal 2 2" xfId="7" xr:uid="{00000000-0005-0000-0000-0000BE040000}"/>
    <cellStyle name="Normal 2 3" xfId="4" xr:uid="{00000000-0005-0000-0000-0000BF040000}"/>
    <cellStyle name="Normal 3" xfId="2" xr:uid="{00000000-0005-0000-0000-0000C0040000}"/>
    <cellStyle name="Normal 3 10" xfId="815" xr:uid="{00000000-0005-0000-0000-0000C1040000}"/>
    <cellStyle name="Normal 3 2" xfId="8" xr:uid="{00000000-0005-0000-0000-0000C2040000}"/>
    <cellStyle name="Normal 3 2 10" xfId="817" xr:uid="{00000000-0005-0000-0000-0000C3040000}"/>
    <cellStyle name="Normal 3 2 2" xfId="96" xr:uid="{00000000-0005-0000-0000-0000C4040000}"/>
    <cellStyle name="Normal 3 2 2 2" xfId="128" xr:uid="{00000000-0005-0000-0000-0000C5040000}"/>
    <cellStyle name="Normal 3 2 2 2 2" xfId="448" xr:uid="{00000000-0005-0000-0000-0000C6040000}"/>
    <cellStyle name="Normal 3 2 2 2 2 2" xfId="754" xr:uid="{00000000-0005-0000-0000-0000C7040000}"/>
    <cellStyle name="Normal 3 2 2 2 2 2 2" xfId="1370" xr:uid="{00000000-0005-0000-0000-0000C8040000}"/>
    <cellStyle name="Normal 3 2 2 2 2 3" xfId="1064" xr:uid="{00000000-0005-0000-0000-0000C9040000}"/>
    <cellStyle name="Normal 3 2 2 2 3" xfId="321" xr:uid="{00000000-0005-0000-0000-0000CA040000}"/>
    <cellStyle name="Normal 3 2 2 2 3 2" xfId="1243" xr:uid="{00000000-0005-0000-0000-0000CB040000}"/>
    <cellStyle name="Normal 3 2 2 2 4" xfId="627" xr:uid="{00000000-0005-0000-0000-0000CC040000}"/>
    <cellStyle name="Normal 3 2 2 2 5" xfId="910" xr:uid="{00000000-0005-0000-0000-0000CD040000}"/>
    <cellStyle name="Normal 3 2 2 3" xfId="174" xr:uid="{00000000-0005-0000-0000-0000CE040000}"/>
    <cellStyle name="Normal 3 2 2 3 2" xfId="494" xr:uid="{00000000-0005-0000-0000-0000CF040000}"/>
    <cellStyle name="Normal 3 2 2 3 2 2" xfId="800" xr:uid="{00000000-0005-0000-0000-0000D0040000}"/>
    <cellStyle name="Normal 3 2 2 3 2 2 2" xfId="1416" xr:uid="{00000000-0005-0000-0000-0000D1040000}"/>
    <cellStyle name="Normal 3 2 2 3 2 3" xfId="1110" xr:uid="{00000000-0005-0000-0000-0000D2040000}"/>
    <cellStyle name="Normal 3 2 2 3 3" xfId="301" xr:uid="{00000000-0005-0000-0000-0000D3040000}"/>
    <cellStyle name="Normal 3 2 2 3 3 2" xfId="1223" xr:uid="{00000000-0005-0000-0000-0000D4040000}"/>
    <cellStyle name="Normal 3 2 2 3 4" xfId="607" xr:uid="{00000000-0005-0000-0000-0000D5040000}"/>
    <cellStyle name="Normal 3 2 2 3 5" xfId="956" xr:uid="{00000000-0005-0000-0000-0000D6040000}"/>
    <cellStyle name="Normal 3 2 2 4" xfId="353" xr:uid="{00000000-0005-0000-0000-0000D7040000}"/>
    <cellStyle name="Normal 3 2 2 4 2" xfId="659" xr:uid="{00000000-0005-0000-0000-0000D8040000}"/>
    <cellStyle name="Normal 3 2 2 4 2 2" xfId="1275" xr:uid="{00000000-0005-0000-0000-0000D9040000}"/>
    <cellStyle name="Normal 3 2 2 4 3" xfId="1032" xr:uid="{00000000-0005-0000-0000-0000DA040000}"/>
    <cellStyle name="Normal 3 2 2 5" xfId="416" xr:uid="{00000000-0005-0000-0000-0000DB040000}"/>
    <cellStyle name="Normal 3 2 2 5 2" xfId="722" xr:uid="{00000000-0005-0000-0000-0000DC040000}"/>
    <cellStyle name="Normal 3 2 2 5 3" xfId="1338" xr:uid="{00000000-0005-0000-0000-0000DD040000}"/>
    <cellStyle name="Normal 3 2 2 6" xfId="208" xr:uid="{00000000-0005-0000-0000-0000DE040000}"/>
    <cellStyle name="Normal 3 2 2 6 2" xfId="1130" xr:uid="{00000000-0005-0000-0000-0000DF040000}"/>
    <cellStyle name="Normal 3 2 2 7" xfId="514" xr:uid="{00000000-0005-0000-0000-0000E0040000}"/>
    <cellStyle name="Normal 3 2 2 8" xfId="878" xr:uid="{00000000-0005-0000-0000-0000E1040000}"/>
    <cellStyle name="Normal 3 2 3" xfId="67" xr:uid="{00000000-0005-0000-0000-0000E2040000}"/>
    <cellStyle name="Normal 3 2 3 2" xfId="387" xr:uid="{00000000-0005-0000-0000-0000E3040000}"/>
    <cellStyle name="Normal 3 2 3 2 2" xfId="693" xr:uid="{00000000-0005-0000-0000-0000E4040000}"/>
    <cellStyle name="Normal 3 2 3 2 2 2" xfId="1309" xr:uid="{00000000-0005-0000-0000-0000E5040000}"/>
    <cellStyle name="Normal 3 2 3 2 3" xfId="1003" xr:uid="{00000000-0005-0000-0000-0000E6040000}"/>
    <cellStyle name="Normal 3 2 3 3" xfId="272" xr:uid="{00000000-0005-0000-0000-0000E7040000}"/>
    <cellStyle name="Normal 3 2 3 3 2" xfId="1194" xr:uid="{00000000-0005-0000-0000-0000E8040000}"/>
    <cellStyle name="Normal 3 2 3 4" xfId="578" xr:uid="{00000000-0005-0000-0000-0000E9040000}"/>
    <cellStyle name="Normal 3 2 3 5" xfId="849" xr:uid="{00000000-0005-0000-0000-0000EA040000}"/>
    <cellStyle name="Normal 3 2 4" xfId="99" xr:uid="{00000000-0005-0000-0000-0000EB040000}"/>
    <cellStyle name="Normal 3 2 4 2" xfId="419" xr:uid="{00000000-0005-0000-0000-0000EC040000}"/>
    <cellStyle name="Normal 3 2 4 2 2" xfId="725" xr:uid="{00000000-0005-0000-0000-0000ED040000}"/>
    <cellStyle name="Normal 3 2 4 2 2 2" xfId="1341" xr:uid="{00000000-0005-0000-0000-0000EE040000}"/>
    <cellStyle name="Normal 3 2 4 2 3" xfId="1035" xr:uid="{00000000-0005-0000-0000-0000EF040000}"/>
    <cellStyle name="Normal 3 2 4 3" xfId="304" xr:uid="{00000000-0005-0000-0000-0000F0040000}"/>
    <cellStyle name="Normal 3 2 4 3 2" xfId="1226" xr:uid="{00000000-0005-0000-0000-0000F1040000}"/>
    <cellStyle name="Normal 3 2 4 4" xfId="610" xr:uid="{00000000-0005-0000-0000-0000F2040000}"/>
    <cellStyle name="Normal 3 2 4 5" xfId="881" xr:uid="{00000000-0005-0000-0000-0000F3040000}"/>
    <cellStyle name="Normal 3 2 5" xfId="145" xr:uid="{00000000-0005-0000-0000-0000F4040000}"/>
    <cellStyle name="Normal 3 2 5 2" xfId="465" xr:uid="{00000000-0005-0000-0000-0000F5040000}"/>
    <cellStyle name="Normal 3 2 5 2 2" xfId="771" xr:uid="{00000000-0005-0000-0000-0000F6040000}"/>
    <cellStyle name="Normal 3 2 5 2 2 2" xfId="1387" xr:uid="{00000000-0005-0000-0000-0000F7040000}"/>
    <cellStyle name="Normal 3 2 5 2 3" xfId="1081" xr:uid="{00000000-0005-0000-0000-0000F8040000}"/>
    <cellStyle name="Normal 3 2 5 3" xfId="238" xr:uid="{00000000-0005-0000-0000-0000F9040000}"/>
    <cellStyle name="Normal 3 2 5 3 2" xfId="1160" xr:uid="{00000000-0005-0000-0000-0000FA040000}"/>
    <cellStyle name="Normal 3 2 5 4" xfId="544" xr:uid="{00000000-0005-0000-0000-0000FB040000}"/>
    <cellStyle name="Normal 3 2 5 5" xfId="927" xr:uid="{00000000-0005-0000-0000-0000FC040000}"/>
    <cellStyle name="Normal 3 2 6" xfId="324" xr:uid="{00000000-0005-0000-0000-0000FD040000}"/>
    <cellStyle name="Normal 3 2 6 2" xfId="630" xr:uid="{00000000-0005-0000-0000-0000FE040000}"/>
    <cellStyle name="Normal 3 2 6 2 2" xfId="1246" xr:uid="{00000000-0005-0000-0000-0000FF040000}"/>
    <cellStyle name="Normal 3 2 6 3" xfId="979" xr:uid="{00000000-0005-0000-0000-000000050000}"/>
    <cellStyle name="Normal 3 2 7" xfId="356" xr:uid="{00000000-0005-0000-0000-000001050000}"/>
    <cellStyle name="Normal 3 2 7 2" xfId="662" xr:uid="{00000000-0005-0000-0000-000002050000}"/>
    <cellStyle name="Normal 3 2 7 3" xfId="1278" xr:uid="{00000000-0005-0000-0000-000003050000}"/>
    <cellStyle name="Normal 3 2 8" xfId="191" xr:uid="{00000000-0005-0000-0000-000004050000}"/>
    <cellStyle name="Normal 3 2 8 2" xfId="1113" xr:uid="{00000000-0005-0000-0000-000005050000}"/>
    <cellStyle name="Normal 3 2 9" xfId="497" xr:uid="{00000000-0005-0000-0000-000006050000}"/>
    <cellStyle name="Normal 3 3" xfId="65" xr:uid="{00000000-0005-0000-0000-000007050000}"/>
    <cellStyle name="Normal 3 3 2" xfId="270" xr:uid="{00000000-0005-0000-0000-000008050000}"/>
    <cellStyle name="Normal 3 3 2 2" xfId="576" xr:uid="{00000000-0005-0000-0000-000009050000}"/>
    <cellStyle name="Normal 3 3 2 2 2" xfId="1192" xr:uid="{00000000-0005-0000-0000-00000A050000}"/>
    <cellStyle name="Normal 3 3 2 3" xfId="1001" xr:uid="{00000000-0005-0000-0000-00000B050000}"/>
    <cellStyle name="Normal 3 3 3" xfId="385" xr:uid="{00000000-0005-0000-0000-00000C050000}"/>
    <cellStyle name="Normal 3 3 3 2" xfId="691" xr:uid="{00000000-0005-0000-0000-00000D050000}"/>
    <cellStyle name="Normal 3 3 3 3" xfId="1307" xr:uid="{00000000-0005-0000-0000-00000E050000}"/>
    <cellStyle name="Normal 3 3 4" xfId="206" xr:uid="{00000000-0005-0000-0000-00000F050000}"/>
    <cellStyle name="Normal 3 3 4 2" xfId="1128" xr:uid="{00000000-0005-0000-0000-000010050000}"/>
    <cellStyle name="Normal 3 3 5" xfId="512" xr:uid="{00000000-0005-0000-0000-000011050000}"/>
    <cellStyle name="Normal 3 3 6" xfId="847" xr:uid="{00000000-0005-0000-0000-000012050000}"/>
    <cellStyle name="Normal 3 4" xfId="97" xr:uid="{00000000-0005-0000-0000-000013050000}"/>
    <cellStyle name="Normal 3 4 2" xfId="417" xr:uid="{00000000-0005-0000-0000-000014050000}"/>
    <cellStyle name="Normal 3 4 2 2" xfId="723" xr:uid="{00000000-0005-0000-0000-000015050000}"/>
    <cellStyle name="Normal 3 4 2 2 2" xfId="1339" xr:uid="{00000000-0005-0000-0000-000016050000}"/>
    <cellStyle name="Normal 3 4 2 3" xfId="1033" xr:uid="{00000000-0005-0000-0000-000017050000}"/>
    <cellStyle name="Normal 3 4 3" xfId="302" xr:uid="{00000000-0005-0000-0000-000018050000}"/>
    <cellStyle name="Normal 3 4 3 2" xfId="1224" xr:uid="{00000000-0005-0000-0000-000019050000}"/>
    <cellStyle name="Normal 3 4 4" xfId="608" xr:uid="{00000000-0005-0000-0000-00001A050000}"/>
    <cellStyle name="Normal 3 4 5" xfId="879" xr:uid="{00000000-0005-0000-0000-00001B050000}"/>
    <cellStyle name="Normal 3 5" xfId="143" xr:uid="{00000000-0005-0000-0000-00001C050000}"/>
    <cellStyle name="Normal 3 5 2" xfId="463" xr:uid="{00000000-0005-0000-0000-00001D050000}"/>
    <cellStyle name="Normal 3 5 2 2" xfId="769" xr:uid="{00000000-0005-0000-0000-00001E050000}"/>
    <cellStyle name="Normal 3 5 2 2 2" xfId="1385" xr:uid="{00000000-0005-0000-0000-00001F050000}"/>
    <cellStyle name="Normal 3 5 2 3" xfId="1079" xr:uid="{00000000-0005-0000-0000-000020050000}"/>
    <cellStyle name="Normal 3 5 3" xfId="239" xr:uid="{00000000-0005-0000-0000-000021050000}"/>
    <cellStyle name="Normal 3 5 3 2" xfId="1161" xr:uid="{00000000-0005-0000-0000-000022050000}"/>
    <cellStyle name="Normal 3 5 4" xfId="545" xr:uid="{00000000-0005-0000-0000-000023050000}"/>
    <cellStyle name="Normal 3 5 5" xfId="925" xr:uid="{00000000-0005-0000-0000-000024050000}"/>
    <cellStyle name="Normal 3 6" xfId="322" xr:uid="{00000000-0005-0000-0000-000025050000}"/>
    <cellStyle name="Normal 3 6 2" xfId="628" xr:uid="{00000000-0005-0000-0000-000026050000}"/>
    <cellStyle name="Normal 3 6 2 2" xfId="1244" xr:uid="{00000000-0005-0000-0000-000027050000}"/>
    <cellStyle name="Normal 3 6 3" xfId="973" xr:uid="{00000000-0005-0000-0000-000028050000}"/>
    <cellStyle name="Normal 3 7" xfId="354" xr:uid="{00000000-0005-0000-0000-000029050000}"/>
    <cellStyle name="Normal 3 7 2" xfId="660" xr:uid="{00000000-0005-0000-0000-00002A050000}"/>
    <cellStyle name="Normal 3 7 3" xfId="1276" xr:uid="{00000000-0005-0000-0000-00002B050000}"/>
    <cellStyle name="Normal 3 8" xfId="189" xr:uid="{00000000-0005-0000-0000-00002C050000}"/>
    <cellStyle name="Normal 3 8 2" xfId="1111" xr:uid="{00000000-0005-0000-0000-00002D050000}"/>
    <cellStyle name="Normal 3 9" xfId="495" xr:uid="{00000000-0005-0000-0000-00002E050000}"/>
    <cellStyle name="Normal 4" xfId="6" xr:uid="{00000000-0005-0000-0000-00002F050000}"/>
    <cellStyle name="Normal 5" xfId="3" xr:uid="{00000000-0005-0000-0000-000030050000}"/>
    <cellStyle name="Normal 5 2" xfId="66" xr:uid="{00000000-0005-0000-0000-000031050000}"/>
    <cellStyle name="Normal 5 2 2" xfId="271" xr:uid="{00000000-0005-0000-0000-000032050000}"/>
    <cellStyle name="Normal 5 2 2 2" xfId="577" xr:uid="{00000000-0005-0000-0000-000033050000}"/>
    <cellStyle name="Normal 5 2 2 2 2" xfId="1193" xr:uid="{00000000-0005-0000-0000-000034050000}"/>
    <cellStyle name="Normal 5 2 2 3" xfId="1002" xr:uid="{00000000-0005-0000-0000-000035050000}"/>
    <cellStyle name="Normal 5 2 3" xfId="386" xr:uid="{00000000-0005-0000-0000-000036050000}"/>
    <cellStyle name="Normal 5 2 3 2" xfId="692" xr:uid="{00000000-0005-0000-0000-000037050000}"/>
    <cellStyle name="Normal 5 2 3 3" xfId="1308" xr:uid="{00000000-0005-0000-0000-000038050000}"/>
    <cellStyle name="Normal 5 2 4" xfId="207" xr:uid="{00000000-0005-0000-0000-000039050000}"/>
    <cellStyle name="Normal 5 2 4 2" xfId="1129" xr:uid="{00000000-0005-0000-0000-00003A050000}"/>
    <cellStyle name="Normal 5 2 5" xfId="513" xr:uid="{00000000-0005-0000-0000-00003B050000}"/>
    <cellStyle name="Normal 5 2 6" xfId="848" xr:uid="{00000000-0005-0000-0000-00003C050000}"/>
    <cellStyle name="Normal 5 3" xfId="98" xr:uid="{00000000-0005-0000-0000-00003D050000}"/>
    <cellStyle name="Normal 5 3 2" xfId="418" xr:uid="{00000000-0005-0000-0000-00003E050000}"/>
    <cellStyle name="Normal 5 3 2 2" xfId="724" xr:uid="{00000000-0005-0000-0000-00003F050000}"/>
    <cellStyle name="Normal 5 3 2 2 2" xfId="1340" xr:uid="{00000000-0005-0000-0000-000040050000}"/>
    <cellStyle name="Normal 5 3 2 3" xfId="1034" xr:uid="{00000000-0005-0000-0000-000041050000}"/>
    <cellStyle name="Normal 5 3 3" xfId="303" xr:uid="{00000000-0005-0000-0000-000042050000}"/>
    <cellStyle name="Normal 5 3 3 2" xfId="1225" xr:uid="{00000000-0005-0000-0000-000043050000}"/>
    <cellStyle name="Normal 5 3 4" xfId="609" xr:uid="{00000000-0005-0000-0000-000044050000}"/>
    <cellStyle name="Normal 5 3 5" xfId="880" xr:uid="{00000000-0005-0000-0000-000045050000}"/>
    <cellStyle name="Normal 5 4" xfId="144" xr:uid="{00000000-0005-0000-0000-000046050000}"/>
    <cellStyle name="Normal 5 4 2" xfId="464" xr:uid="{00000000-0005-0000-0000-000047050000}"/>
    <cellStyle name="Normal 5 4 2 2" xfId="770" xr:uid="{00000000-0005-0000-0000-000048050000}"/>
    <cellStyle name="Normal 5 4 2 2 2" xfId="1386" xr:uid="{00000000-0005-0000-0000-000049050000}"/>
    <cellStyle name="Normal 5 4 2 3" xfId="1080" xr:uid="{00000000-0005-0000-0000-00004A050000}"/>
    <cellStyle name="Normal 5 4 3" xfId="240" xr:uid="{00000000-0005-0000-0000-00004B050000}"/>
    <cellStyle name="Normal 5 4 3 2" xfId="1162" xr:uid="{00000000-0005-0000-0000-00004C050000}"/>
    <cellStyle name="Normal 5 4 4" xfId="546" xr:uid="{00000000-0005-0000-0000-00004D050000}"/>
    <cellStyle name="Normal 5 4 5" xfId="926" xr:uid="{00000000-0005-0000-0000-00004E050000}"/>
    <cellStyle name="Normal 5 5" xfId="323" xr:uid="{00000000-0005-0000-0000-00004F050000}"/>
    <cellStyle name="Normal 5 5 2" xfId="629" xr:uid="{00000000-0005-0000-0000-000050050000}"/>
    <cellStyle name="Normal 5 5 2 2" xfId="1245" xr:uid="{00000000-0005-0000-0000-000051050000}"/>
    <cellStyle name="Normal 5 5 3" xfId="976" xr:uid="{00000000-0005-0000-0000-000052050000}"/>
    <cellStyle name="Normal 5 6" xfId="355" xr:uid="{00000000-0005-0000-0000-000053050000}"/>
    <cellStyle name="Normal 5 6 2" xfId="661" xr:uid="{00000000-0005-0000-0000-000054050000}"/>
    <cellStyle name="Normal 5 6 3" xfId="1277" xr:uid="{00000000-0005-0000-0000-000055050000}"/>
    <cellStyle name="Normal 5 7" xfId="190" xr:uid="{00000000-0005-0000-0000-000056050000}"/>
    <cellStyle name="Normal 5 7 2" xfId="1112" xr:uid="{00000000-0005-0000-0000-000057050000}"/>
    <cellStyle name="Normal 5 8" xfId="496" xr:uid="{00000000-0005-0000-0000-000058050000}"/>
    <cellStyle name="Normal 5 9" xfId="816" xr:uid="{00000000-0005-0000-0000-000059050000}"/>
    <cellStyle name="Normal 6" xfId="49" xr:uid="{00000000-0005-0000-0000-00005A050000}"/>
    <cellStyle name="Normal 6 2" xfId="80" xr:uid="{00000000-0005-0000-0000-00005B050000}"/>
    <cellStyle name="Normal 6 2 2" xfId="285" xr:uid="{00000000-0005-0000-0000-00005C050000}"/>
    <cellStyle name="Normal 6 2 2 2" xfId="591" xr:uid="{00000000-0005-0000-0000-00005D050000}"/>
    <cellStyle name="Normal 6 2 2 2 2" xfId="1207" xr:uid="{00000000-0005-0000-0000-00005E050000}"/>
    <cellStyle name="Normal 6 2 2 3" xfId="1016" xr:uid="{00000000-0005-0000-0000-00005F050000}"/>
    <cellStyle name="Normal 6 2 3" xfId="400" xr:uid="{00000000-0005-0000-0000-000060050000}"/>
    <cellStyle name="Normal 6 2 3 2" xfId="706" xr:uid="{00000000-0005-0000-0000-000061050000}"/>
    <cellStyle name="Normal 6 2 3 3" xfId="1322" xr:uid="{00000000-0005-0000-0000-000062050000}"/>
    <cellStyle name="Normal 6 2 4" xfId="221" xr:uid="{00000000-0005-0000-0000-000063050000}"/>
    <cellStyle name="Normal 6 2 4 2" xfId="1143" xr:uid="{00000000-0005-0000-0000-000064050000}"/>
    <cellStyle name="Normal 6 2 5" xfId="527" xr:uid="{00000000-0005-0000-0000-000065050000}"/>
    <cellStyle name="Normal 6 2 6" xfId="862" xr:uid="{00000000-0005-0000-0000-000066050000}"/>
    <cellStyle name="Normal 6 3" xfId="112" xr:uid="{00000000-0005-0000-0000-000067050000}"/>
    <cellStyle name="Normal 6 3 2" xfId="432" xr:uid="{00000000-0005-0000-0000-000068050000}"/>
    <cellStyle name="Normal 6 3 2 2" xfId="738" xr:uid="{00000000-0005-0000-0000-000069050000}"/>
    <cellStyle name="Normal 6 3 2 2 2" xfId="1354" xr:uid="{00000000-0005-0000-0000-00006A050000}"/>
    <cellStyle name="Normal 6 3 2 3" xfId="1048" xr:uid="{00000000-0005-0000-0000-00006B050000}"/>
    <cellStyle name="Normal 6 3 3" xfId="305" xr:uid="{00000000-0005-0000-0000-00006C050000}"/>
    <cellStyle name="Normal 6 3 3 2" xfId="1227" xr:uid="{00000000-0005-0000-0000-00006D050000}"/>
    <cellStyle name="Normal 6 3 4" xfId="611" xr:uid="{00000000-0005-0000-0000-00006E050000}"/>
    <cellStyle name="Normal 6 3 5" xfId="894" xr:uid="{00000000-0005-0000-0000-00006F050000}"/>
    <cellStyle name="Normal 6 4" xfId="158" xr:uid="{00000000-0005-0000-0000-000070050000}"/>
    <cellStyle name="Normal 6 4 2" xfId="478" xr:uid="{00000000-0005-0000-0000-000071050000}"/>
    <cellStyle name="Normal 6 4 2 2" xfId="784" xr:uid="{00000000-0005-0000-0000-000072050000}"/>
    <cellStyle name="Normal 6 4 2 2 2" xfId="1400" xr:uid="{00000000-0005-0000-0000-000073050000}"/>
    <cellStyle name="Normal 6 4 2 3" xfId="1094" xr:uid="{00000000-0005-0000-0000-000074050000}"/>
    <cellStyle name="Normal 6 4 3" xfId="254" xr:uid="{00000000-0005-0000-0000-000075050000}"/>
    <cellStyle name="Normal 6 4 3 2" xfId="1176" xr:uid="{00000000-0005-0000-0000-000076050000}"/>
    <cellStyle name="Normal 6 4 4" xfId="560" xr:uid="{00000000-0005-0000-0000-000077050000}"/>
    <cellStyle name="Normal 6 4 5" xfId="940" xr:uid="{00000000-0005-0000-0000-000078050000}"/>
    <cellStyle name="Normal 6 5" xfId="337" xr:uid="{00000000-0005-0000-0000-000079050000}"/>
    <cellStyle name="Normal 6 5 2" xfId="643" xr:uid="{00000000-0005-0000-0000-00007A050000}"/>
    <cellStyle name="Normal 6 5 2 2" xfId="1259" xr:uid="{00000000-0005-0000-0000-00007B050000}"/>
    <cellStyle name="Normal 6 5 3" xfId="985" xr:uid="{00000000-0005-0000-0000-00007C050000}"/>
    <cellStyle name="Normal 6 6" xfId="369" xr:uid="{00000000-0005-0000-0000-00007D050000}"/>
    <cellStyle name="Normal 6 6 2" xfId="675" xr:uid="{00000000-0005-0000-0000-00007E050000}"/>
    <cellStyle name="Normal 6 6 3" xfId="1291" xr:uid="{00000000-0005-0000-0000-00007F050000}"/>
    <cellStyle name="Normal 6 7" xfId="204" xr:uid="{00000000-0005-0000-0000-000080050000}"/>
    <cellStyle name="Normal 6 7 2" xfId="1126" xr:uid="{00000000-0005-0000-0000-000081050000}"/>
    <cellStyle name="Normal 6 8" xfId="510" xr:uid="{00000000-0005-0000-0000-000082050000}"/>
    <cellStyle name="Normal 6 9" xfId="831" xr:uid="{00000000-0005-0000-0000-000083050000}"/>
    <cellStyle name="Normal 7" xfId="51" xr:uid="{00000000-0005-0000-0000-000084050000}"/>
    <cellStyle name="Normal 7 2" xfId="82" xr:uid="{00000000-0005-0000-0000-000085050000}"/>
    <cellStyle name="Normal 7 2 2" xfId="402" xr:uid="{00000000-0005-0000-0000-000086050000}"/>
    <cellStyle name="Normal 7 2 2 2" xfId="708" xr:uid="{00000000-0005-0000-0000-000087050000}"/>
    <cellStyle name="Normal 7 2 2 2 2" xfId="1324" xr:uid="{00000000-0005-0000-0000-000088050000}"/>
    <cellStyle name="Normal 7 2 2 3" xfId="1018" xr:uid="{00000000-0005-0000-0000-000089050000}"/>
    <cellStyle name="Normal 7 2 3" xfId="287" xr:uid="{00000000-0005-0000-0000-00008A050000}"/>
    <cellStyle name="Normal 7 2 3 2" xfId="1209" xr:uid="{00000000-0005-0000-0000-00008B050000}"/>
    <cellStyle name="Normal 7 2 4" xfId="593" xr:uid="{00000000-0005-0000-0000-00008C050000}"/>
    <cellStyle name="Normal 7 2 5" xfId="864" xr:uid="{00000000-0005-0000-0000-00008D050000}"/>
    <cellStyle name="Normal 7 3" xfId="114" xr:uid="{00000000-0005-0000-0000-00008E050000}"/>
    <cellStyle name="Normal 7 3 2" xfId="434" xr:uid="{00000000-0005-0000-0000-00008F050000}"/>
    <cellStyle name="Normal 7 3 2 2" xfId="740" xr:uid="{00000000-0005-0000-0000-000090050000}"/>
    <cellStyle name="Normal 7 3 2 2 2" xfId="1356" xr:uid="{00000000-0005-0000-0000-000091050000}"/>
    <cellStyle name="Normal 7 3 2 3" xfId="1050" xr:uid="{00000000-0005-0000-0000-000092050000}"/>
    <cellStyle name="Normal 7 3 3" xfId="307" xr:uid="{00000000-0005-0000-0000-000093050000}"/>
    <cellStyle name="Normal 7 3 3 2" xfId="1229" xr:uid="{00000000-0005-0000-0000-000094050000}"/>
    <cellStyle name="Normal 7 3 4" xfId="613" xr:uid="{00000000-0005-0000-0000-000095050000}"/>
    <cellStyle name="Normal 7 3 5" xfId="896" xr:uid="{00000000-0005-0000-0000-000096050000}"/>
    <cellStyle name="Normal 7 4" xfId="160" xr:uid="{00000000-0005-0000-0000-000097050000}"/>
    <cellStyle name="Normal 7 4 2" xfId="480" xr:uid="{00000000-0005-0000-0000-000098050000}"/>
    <cellStyle name="Normal 7 4 2 2" xfId="786" xr:uid="{00000000-0005-0000-0000-000099050000}"/>
    <cellStyle name="Normal 7 4 2 2 2" xfId="1402" xr:uid="{00000000-0005-0000-0000-00009A050000}"/>
    <cellStyle name="Normal 7 4 2 3" xfId="1096" xr:uid="{00000000-0005-0000-0000-00009B050000}"/>
    <cellStyle name="Normal 7 4 3" xfId="256" xr:uid="{00000000-0005-0000-0000-00009C050000}"/>
    <cellStyle name="Normal 7 4 3 2" xfId="1178" xr:uid="{00000000-0005-0000-0000-00009D050000}"/>
    <cellStyle name="Normal 7 4 4" xfId="562" xr:uid="{00000000-0005-0000-0000-00009E050000}"/>
    <cellStyle name="Normal 7 4 5" xfId="942" xr:uid="{00000000-0005-0000-0000-00009F050000}"/>
    <cellStyle name="Normal 7 5" xfId="339" xr:uid="{00000000-0005-0000-0000-0000A0050000}"/>
    <cellStyle name="Normal 7 5 2" xfId="645" xr:uid="{00000000-0005-0000-0000-0000A1050000}"/>
    <cellStyle name="Normal 7 5 2 2" xfId="1261" xr:uid="{00000000-0005-0000-0000-0000A2050000}"/>
    <cellStyle name="Normal 7 5 3" xfId="987" xr:uid="{00000000-0005-0000-0000-0000A3050000}"/>
    <cellStyle name="Normal 7 6" xfId="371" xr:uid="{00000000-0005-0000-0000-0000A4050000}"/>
    <cellStyle name="Normal 7 6 2" xfId="677" xr:uid="{00000000-0005-0000-0000-0000A5050000}"/>
    <cellStyle name="Normal 7 6 3" xfId="1293" xr:uid="{00000000-0005-0000-0000-0000A6050000}"/>
    <cellStyle name="Normal 7 7" xfId="223" xr:uid="{00000000-0005-0000-0000-0000A7050000}"/>
    <cellStyle name="Normal 7 7 2" xfId="1145" xr:uid="{00000000-0005-0000-0000-0000A8050000}"/>
    <cellStyle name="Normal 7 8" xfId="529" xr:uid="{00000000-0005-0000-0000-0000A9050000}"/>
    <cellStyle name="Normal 7 9" xfId="833" xr:uid="{00000000-0005-0000-0000-0000AA050000}"/>
    <cellStyle name="Normal 8" xfId="129" xr:uid="{00000000-0005-0000-0000-0000AB050000}"/>
    <cellStyle name="Normal 8 2" xfId="449" xr:uid="{00000000-0005-0000-0000-0000AC050000}"/>
    <cellStyle name="Normal 8 2 2" xfId="755" xr:uid="{00000000-0005-0000-0000-0000AD050000}"/>
    <cellStyle name="Normal 8 2 2 2" xfId="1371" xr:uid="{00000000-0005-0000-0000-0000AE050000}"/>
    <cellStyle name="Normal 8 2 3" xfId="1065" xr:uid="{00000000-0005-0000-0000-0000AF050000}"/>
    <cellStyle name="Normal 8 3" xfId="237" xr:uid="{00000000-0005-0000-0000-0000B0050000}"/>
    <cellStyle name="Normal 8 3 2" xfId="1159" xr:uid="{00000000-0005-0000-0000-0000B1050000}"/>
    <cellStyle name="Normal 8 4" xfId="543" xr:uid="{00000000-0005-0000-0000-0000B2050000}"/>
    <cellStyle name="Normal 8 5" xfId="911" xr:uid="{00000000-0005-0000-0000-0000B3050000}"/>
    <cellStyle name="Normal 9" xfId="175" xr:uid="{00000000-0005-0000-0000-0000B4050000}"/>
    <cellStyle name="Normal 9 2" xfId="801" xr:uid="{00000000-0005-0000-0000-0000B5050000}"/>
    <cellStyle name="Normal 9 2 2" xfId="1417" xr:uid="{00000000-0005-0000-0000-0000B6050000}"/>
    <cellStyle name="Normal 9 3" xfId="957" xr:uid="{00000000-0005-0000-0000-0000B7050000}"/>
    <cellStyle name="Note 2" xfId="50" xr:uid="{00000000-0005-0000-0000-0000B8050000}"/>
    <cellStyle name="Note 2 2" xfId="81" xr:uid="{00000000-0005-0000-0000-0000B9050000}"/>
    <cellStyle name="Note 2 2 2" xfId="286" xr:uid="{00000000-0005-0000-0000-0000BA050000}"/>
    <cellStyle name="Note 2 2 2 2" xfId="592" xr:uid="{00000000-0005-0000-0000-0000BB050000}"/>
    <cellStyle name="Note 2 2 2 2 2" xfId="1208" xr:uid="{00000000-0005-0000-0000-0000BC050000}"/>
    <cellStyle name="Note 2 2 2 3" xfId="1017" xr:uid="{00000000-0005-0000-0000-0000BD050000}"/>
    <cellStyle name="Note 2 2 3" xfId="401" xr:uid="{00000000-0005-0000-0000-0000BE050000}"/>
    <cellStyle name="Note 2 2 3 2" xfId="707" xr:uid="{00000000-0005-0000-0000-0000BF050000}"/>
    <cellStyle name="Note 2 2 3 3" xfId="1323" xr:uid="{00000000-0005-0000-0000-0000C0050000}"/>
    <cellStyle name="Note 2 2 4" xfId="222" xr:uid="{00000000-0005-0000-0000-0000C1050000}"/>
    <cellStyle name="Note 2 2 4 2" xfId="1144" xr:uid="{00000000-0005-0000-0000-0000C2050000}"/>
    <cellStyle name="Note 2 2 5" xfId="528" xr:uid="{00000000-0005-0000-0000-0000C3050000}"/>
    <cellStyle name="Note 2 2 6" xfId="863" xr:uid="{00000000-0005-0000-0000-0000C4050000}"/>
    <cellStyle name="Note 2 3" xfId="113" xr:uid="{00000000-0005-0000-0000-0000C5050000}"/>
    <cellStyle name="Note 2 3 2" xfId="433" xr:uid="{00000000-0005-0000-0000-0000C6050000}"/>
    <cellStyle name="Note 2 3 2 2" xfId="739" xr:uid="{00000000-0005-0000-0000-0000C7050000}"/>
    <cellStyle name="Note 2 3 2 2 2" xfId="1355" xr:uid="{00000000-0005-0000-0000-0000C8050000}"/>
    <cellStyle name="Note 2 3 2 3" xfId="1049" xr:uid="{00000000-0005-0000-0000-0000C9050000}"/>
    <cellStyle name="Note 2 3 3" xfId="306" xr:uid="{00000000-0005-0000-0000-0000CA050000}"/>
    <cellStyle name="Note 2 3 3 2" xfId="1228" xr:uid="{00000000-0005-0000-0000-0000CB050000}"/>
    <cellStyle name="Note 2 3 4" xfId="612" xr:uid="{00000000-0005-0000-0000-0000CC050000}"/>
    <cellStyle name="Note 2 3 5" xfId="895" xr:uid="{00000000-0005-0000-0000-0000CD050000}"/>
    <cellStyle name="Note 2 4" xfId="159" xr:uid="{00000000-0005-0000-0000-0000CE050000}"/>
    <cellStyle name="Note 2 4 2" xfId="479" xr:uid="{00000000-0005-0000-0000-0000CF050000}"/>
    <cellStyle name="Note 2 4 2 2" xfId="785" xr:uid="{00000000-0005-0000-0000-0000D0050000}"/>
    <cellStyle name="Note 2 4 2 2 2" xfId="1401" xr:uid="{00000000-0005-0000-0000-0000D1050000}"/>
    <cellStyle name="Note 2 4 2 3" xfId="1095" xr:uid="{00000000-0005-0000-0000-0000D2050000}"/>
    <cellStyle name="Note 2 4 3" xfId="255" xr:uid="{00000000-0005-0000-0000-0000D3050000}"/>
    <cellStyle name="Note 2 4 3 2" xfId="1177" xr:uid="{00000000-0005-0000-0000-0000D4050000}"/>
    <cellStyle name="Note 2 4 4" xfId="561" xr:uid="{00000000-0005-0000-0000-0000D5050000}"/>
    <cellStyle name="Note 2 4 5" xfId="941" xr:uid="{00000000-0005-0000-0000-0000D6050000}"/>
    <cellStyle name="Note 2 5" xfId="338" xr:uid="{00000000-0005-0000-0000-0000D7050000}"/>
    <cellStyle name="Note 2 5 2" xfId="644" xr:uid="{00000000-0005-0000-0000-0000D8050000}"/>
    <cellStyle name="Note 2 5 2 2" xfId="1260" xr:uid="{00000000-0005-0000-0000-0000D9050000}"/>
    <cellStyle name="Note 2 5 3" xfId="986" xr:uid="{00000000-0005-0000-0000-0000DA050000}"/>
    <cellStyle name="Note 2 6" xfId="370" xr:uid="{00000000-0005-0000-0000-0000DB050000}"/>
    <cellStyle name="Note 2 6 2" xfId="676" xr:uid="{00000000-0005-0000-0000-0000DC050000}"/>
    <cellStyle name="Note 2 6 3" xfId="1292" xr:uid="{00000000-0005-0000-0000-0000DD050000}"/>
    <cellStyle name="Note 2 7" xfId="205" xr:uid="{00000000-0005-0000-0000-0000DE050000}"/>
    <cellStyle name="Note 2 7 2" xfId="1127" xr:uid="{00000000-0005-0000-0000-0000DF050000}"/>
    <cellStyle name="Note 2 8" xfId="511" xr:uid="{00000000-0005-0000-0000-0000E0050000}"/>
    <cellStyle name="Note 2 9" xfId="832" xr:uid="{00000000-0005-0000-0000-0000E1050000}"/>
    <cellStyle name="Note 3" xfId="52" xr:uid="{00000000-0005-0000-0000-0000E2050000}"/>
    <cellStyle name="Note 3 2" xfId="83" xr:uid="{00000000-0005-0000-0000-0000E3050000}"/>
    <cellStyle name="Note 3 2 2" xfId="403" xr:uid="{00000000-0005-0000-0000-0000E4050000}"/>
    <cellStyle name="Note 3 2 2 2" xfId="709" xr:uid="{00000000-0005-0000-0000-0000E5050000}"/>
    <cellStyle name="Note 3 2 2 2 2" xfId="1325" xr:uid="{00000000-0005-0000-0000-0000E6050000}"/>
    <cellStyle name="Note 3 2 2 3" xfId="1019" xr:uid="{00000000-0005-0000-0000-0000E7050000}"/>
    <cellStyle name="Note 3 2 3" xfId="288" xr:uid="{00000000-0005-0000-0000-0000E8050000}"/>
    <cellStyle name="Note 3 2 3 2" xfId="1210" xr:uid="{00000000-0005-0000-0000-0000E9050000}"/>
    <cellStyle name="Note 3 2 4" xfId="594" xr:uid="{00000000-0005-0000-0000-0000EA050000}"/>
    <cellStyle name="Note 3 2 5" xfId="865" xr:uid="{00000000-0005-0000-0000-0000EB050000}"/>
    <cellStyle name="Note 3 3" xfId="115" xr:uid="{00000000-0005-0000-0000-0000EC050000}"/>
    <cellStyle name="Note 3 3 2" xfId="435" xr:uid="{00000000-0005-0000-0000-0000ED050000}"/>
    <cellStyle name="Note 3 3 2 2" xfId="741" xr:uid="{00000000-0005-0000-0000-0000EE050000}"/>
    <cellStyle name="Note 3 3 2 2 2" xfId="1357" xr:uid="{00000000-0005-0000-0000-0000EF050000}"/>
    <cellStyle name="Note 3 3 2 3" xfId="1051" xr:uid="{00000000-0005-0000-0000-0000F0050000}"/>
    <cellStyle name="Note 3 3 3" xfId="308" xr:uid="{00000000-0005-0000-0000-0000F1050000}"/>
    <cellStyle name="Note 3 3 3 2" xfId="1230" xr:uid="{00000000-0005-0000-0000-0000F2050000}"/>
    <cellStyle name="Note 3 3 4" xfId="614" xr:uid="{00000000-0005-0000-0000-0000F3050000}"/>
    <cellStyle name="Note 3 3 5" xfId="897" xr:uid="{00000000-0005-0000-0000-0000F4050000}"/>
    <cellStyle name="Note 3 4" xfId="161" xr:uid="{00000000-0005-0000-0000-0000F5050000}"/>
    <cellStyle name="Note 3 4 2" xfId="481" xr:uid="{00000000-0005-0000-0000-0000F6050000}"/>
    <cellStyle name="Note 3 4 2 2" xfId="787" xr:uid="{00000000-0005-0000-0000-0000F7050000}"/>
    <cellStyle name="Note 3 4 2 2 2" xfId="1403" xr:uid="{00000000-0005-0000-0000-0000F8050000}"/>
    <cellStyle name="Note 3 4 2 3" xfId="1097" xr:uid="{00000000-0005-0000-0000-0000F9050000}"/>
    <cellStyle name="Note 3 4 3" xfId="257" xr:uid="{00000000-0005-0000-0000-0000FA050000}"/>
    <cellStyle name="Note 3 4 3 2" xfId="1179" xr:uid="{00000000-0005-0000-0000-0000FB050000}"/>
    <cellStyle name="Note 3 4 4" xfId="563" xr:uid="{00000000-0005-0000-0000-0000FC050000}"/>
    <cellStyle name="Note 3 4 5" xfId="943" xr:uid="{00000000-0005-0000-0000-0000FD050000}"/>
    <cellStyle name="Note 3 5" xfId="340" xr:uid="{00000000-0005-0000-0000-0000FE050000}"/>
    <cellStyle name="Note 3 5 2" xfId="646" xr:uid="{00000000-0005-0000-0000-0000FF050000}"/>
    <cellStyle name="Note 3 5 2 2" xfId="1262" xr:uid="{00000000-0005-0000-0000-000000060000}"/>
    <cellStyle name="Note 3 5 3" xfId="988" xr:uid="{00000000-0005-0000-0000-000001060000}"/>
    <cellStyle name="Note 3 6" xfId="372" xr:uid="{00000000-0005-0000-0000-000002060000}"/>
    <cellStyle name="Note 3 6 2" xfId="678" xr:uid="{00000000-0005-0000-0000-000003060000}"/>
    <cellStyle name="Note 3 6 3" xfId="1294" xr:uid="{00000000-0005-0000-0000-000004060000}"/>
    <cellStyle name="Note 3 7" xfId="224" xr:uid="{00000000-0005-0000-0000-000005060000}"/>
    <cellStyle name="Note 3 7 2" xfId="1146" xr:uid="{00000000-0005-0000-0000-000006060000}"/>
    <cellStyle name="Note 3 8" xfId="530" xr:uid="{00000000-0005-0000-0000-000007060000}"/>
    <cellStyle name="Note 3 9" xfId="834" xr:uid="{00000000-0005-0000-0000-000008060000}"/>
    <cellStyle name="Note 4" xfId="130" xr:uid="{00000000-0005-0000-0000-000009060000}"/>
    <cellStyle name="Note 4 2" xfId="450" xr:uid="{00000000-0005-0000-0000-00000A060000}"/>
    <cellStyle name="Note 4 2 2" xfId="756" xr:uid="{00000000-0005-0000-0000-00000B060000}"/>
    <cellStyle name="Note 4 2 2 2" xfId="1372" xr:uid="{00000000-0005-0000-0000-00000C060000}"/>
    <cellStyle name="Note 4 2 3" xfId="1066" xr:uid="{00000000-0005-0000-0000-00000D060000}"/>
    <cellStyle name="Note 4 3" xfId="241" xr:uid="{00000000-0005-0000-0000-00000E060000}"/>
    <cellStyle name="Note 4 3 2" xfId="1163" xr:uid="{00000000-0005-0000-0000-00000F060000}"/>
    <cellStyle name="Note 4 4" xfId="547" xr:uid="{00000000-0005-0000-0000-000010060000}"/>
    <cellStyle name="Note 4 5" xfId="912" xr:uid="{00000000-0005-0000-0000-000011060000}"/>
    <cellStyle name="Note 5" xfId="176" xr:uid="{00000000-0005-0000-0000-000012060000}"/>
    <cellStyle name="Note 5 2" xfId="802" xr:uid="{00000000-0005-0000-0000-000013060000}"/>
    <cellStyle name="Note 5 2 2" xfId="1418" xr:uid="{00000000-0005-0000-0000-000014060000}"/>
    <cellStyle name="Note 5 3" xfId="958" xr:uid="{00000000-0005-0000-0000-000015060000}"/>
    <cellStyle name="Output" xfId="18" builtinId="21" customBuiltin="1"/>
    <cellStyle name="Percent 2" xfId="5" xr:uid="{00000000-0005-0000-0000-000017060000}"/>
    <cellStyle name="Title" xfId="9" builtinId="15" customBuiltin="1"/>
    <cellStyle name="Total" xfId="24" builtinId="25" customBuiltin="1"/>
    <cellStyle name="Warning Text" xfId="22" builtinId="11" customBuiltin="1"/>
  </cellStyles>
  <dxfs count="8"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0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432FF"/>
      <color rgb="FFFFC7CE"/>
      <color rgb="FF9C0006"/>
      <color rgb="FFFF9BA7"/>
      <color rgb="FFFCD5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3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9BBB59"/>
      </a:accent1>
      <a:accent2>
        <a:srgbClr val="C0504D"/>
      </a:accent2>
      <a:accent3>
        <a:srgbClr val="4F81BD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T90"/>
  <sheetViews>
    <sheetView tabSelected="1" workbookViewId="0">
      <selection activeCell="C19" sqref="C19:C22"/>
    </sheetView>
  </sheetViews>
  <sheetFormatPr baseColWidth="10" defaultRowHeight="16" x14ac:dyDescent="0.2"/>
  <cols>
    <col min="1" max="1" width="36.6640625" style="9" customWidth="1"/>
    <col min="2" max="2" width="7.83203125" style="107" customWidth="1"/>
    <col min="3" max="3" width="9.83203125" style="9" customWidth="1"/>
    <col min="4" max="6" width="6.83203125" style="9" customWidth="1"/>
    <col min="7" max="7" width="8.83203125" style="9" customWidth="1"/>
    <col min="8" max="8" width="8.83203125" style="1" customWidth="1"/>
    <col min="9" max="9" width="8.83203125" style="9" customWidth="1"/>
    <col min="10" max="10" width="2.83203125" style="9" customWidth="1"/>
    <col min="11" max="11" width="9.83203125" style="9" customWidth="1"/>
    <col min="12" max="14" width="6.83203125" style="9" customWidth="1"/>
    <col min="15" max="17" width="8.83203125" style="9" customWidth="1"/>
    <col min="18" max="18" width="2.83203125" style="9" customWidth="1"/>
    <col min="19" max="24" width="8.83203125" style="9" customWidth="1"/>
    <col min="25" max="25" width="2.83203125" style="9" customWidth="1"/>
    <col min="26" max="28" width="6.83203125" style="9" customWidth="1"/>
    <col min="29" max="29" width="2.83203125" style="9" customWidth="1"/>
    <col min="30" max="32" width="6.83203125" style="9" customWidth="1"/>
    <col min="33" max="72" width="10.83203125" style="9"/>
  </cols>
  <sheetData>
    <row r="1" spans="1:72" ht="17" thickBot="1" x14ac:dyDescent="0.25">
      <c r="A1" s="3"/>
      <c r="B1" s="82"/>
      <c r="C1" s="112" t="s">
        <v>22</v>
      </c>
      <c r="D1" s="112"/>
      <c r="E1" s="112"/>
      <c r="F1" s="112"/>
      <c r="G1" s="112"/>
      <c r="H1" s="112"/>
      <c r="I1" s="112"/>
      <c r="J1" s="98"/>
      <c r="K1" s="112"/>
      <c r="L1" s="112"/>
      <c r="M1" s="112"/>
      <c r="N1" s="112"/>
      <c r="O1" s="112"/>
      <c r="P1" s="112"/>
      <c r="Q1" s="112"/>
      <c r="R1" s="82"/>
      <c r="S1" s="116" t="s">
        <v>8</v>
      </c>
      <c r="T1" s="116"/>
      <c r="U1" s="116"/>
      <c r="V1" s="116" t="s">
        <v>9</v>
      </c>
      <c r="W1" s="116"/>
      <c r="X1" s="116"/>
      <c r="Y1" s="3"/>
      <c r="Z1" s="112" t="s">
        <v>14</v>
      </c>
      <c r="AA1" s="112"/>
      <c r="AB1" s="112"/>
      <c r="AC1" s="82"/>
      <c r="AD1" s="113" t="s">
        <v>13</v>
      </c>
      <c r="AE1" s="113"/>
      <c r="AF1" s="11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</row>
    <row r="2" spans="1:72" ht="17" thickBot="1" x14ac:dyDescent="0.25">
      <c r="A2" s="3"/>
      <c r="B2" s="37" t="s">
        <v>0</v>
      </c>
      <c r="C2" s="10" t="s">
        <v>4</v>
      </c>
      <c r="D2" s="11" t="s">
        <v>18</v>
      </c>
      <c r="E2" s="11" t="s">
        <v>19</v>
      </c>
      <c r="F2" s="11" t="s">
        <v>20</v>
      </c>
      <c r="G2" s="11" t="s">
        <v>5</v>
      </c>
      <c r="H2" s="14" t="s">
        <v>6</v>
      </c>
      <c r="I2" s="31" t="s">
        <v>7</v>
      </c>
      <c r="J2" s="37"/>
      <c r="K2" s="30" t="s">
        <v>4</v>
      </c>
      <c r="L2" s="31" t="s">
        <v>18</v>
      </c>
      <c r="M2" s="31" t="s">
        <v>19</v>
      </c>
      <c r="N2" s="31" t="s">
        <v>20</v>
      </c>
      <c r="O2" s="31" t="s">
        <v>5</v>
      </c>
      <c r="P2" s="31" t="s">
        <v>6</v>
      </c>
      <c r="Q2" s="31" t="s">
        <v>7</v>
      </c>
      <c r="R2" s="38"/>
      <c r="S2" s="30" t="s">
        <v>15</v>
      </c>
      <c r="T2" s="31" t="s">
        <v>16</v>
      </c>
      <c r="U2" s="32" t="s">
        <v>17</v>
      </c>
      <c r="V2" s="30" t="s">
        <v>15</v>
      </c>
      <c r="W2" s="31" t="s">
        <v>16</v>
      </c>
      <c r="X2" s="32" t="s">
        <v>17</v>
      </c>
      <c r="Y2" s="37"/>
      <c r="Z2" s="11" t="s">
        <v>15</v>
      </c>
      <c r="AA2" s="11" t="s">
        <v>16</v>
      </c>
      <c r="AB2" s="11" t="s">
        <v>21</v>
      </c>
      <c r="AC2" s="38"/>
      <c r="AD2" s="30" t="s">
        <v>15</v>
      </c>
      <c r="AE2" s="31" t="s">
        <v>16</v>
      </c>
      <c r="AF2" s="32" t="s">
        <v>17</v>
      </c>
    </row>
    <row r="3" spans="1:72" x14ac:dyDescent="0.2">
      <c r="A3" s="91" t="s">
        <v>23</v>
      </c>
      <c r="B3" s="99">
        <v>22</v>
      </c>
      <c r="C3" s="23">
        <v>15974.272499999999</v>
      </c>
      <c r="D3" s="23">
        <v>47.734699999999997</v>
      </c>
      <c r="E3" s="23"/>
      <c r="F3" s="23"/>
      <c r="G3" s="55"/>
      <c r="H3" s="56"/>
      <c r="I3" s="41">
        <f t="shared" ref="I3:I54" si="0">secToHours(G3)</f>
        <v>0</v>
      </c>
      <c r="J3" s="7"/>
      <c r="K3" s="67"/>
      <c r="L3" s="68"/>
      <c r="M3" s="68"/>
      <c r="N3" s="68"/>
      <c r="O3" s="68"/>
      <c r="P3" s="76"/>
      <c r="Q3" s="41">
        <f t="shared" ref="Q3:Q54" si="1">secToHours(O3)</f>
        <v>0</v>
      </c>
      <c r="R3" s="39"/>
      <c r="S3" s="46" t="e">
        <f>bdrate(C3:C6,D3:D6,K3:K6,L3:L6)</f>
        <v>#VALUE!</v>
      </c>
      <c r="T3" s="47" t="e">
        <f>bdrate(C3:C6,E3:E6,K3:K6,M3:M6)</f>
        <v>#VALUE!</v>
      </c>
      <c r="U3" s="47" t="e">
        <f>bdrate(C3:C6,F3:F6,K3:K6,N3:N6)</f>
        <v>#VALUE!</v>
      </c>
      <c r="V3" s="47" t="e">
        <f>bdrateOld(C3:C6,D3:D6,K3:K6,L3:L6)</f>
        <v>#VALUE!</v>
      </c>
      <c r="W3" s="47" t="e">
        <f>bdrateOld(C3:C6,E3:E6,K3:K6,M3:M6)</f>
        <v>#VALUE!</v>
      </c>
      <c r="X3" s="47" t="e">
        <f>bdrateOld(C3:C6,F3:F6,K3:K6,N3:N6)</f>
        <v>#VALUE!</v>
      </c>
      <c r="Y3" s="7"/>
      <c r="Z3" s="23"/>
      <c r="AA3" s="23"/>
      <c r="AB3" s="23"/>
      <c r="AC3" s="39"/>
      <c r="AD3" s="67">
        <v>44.945</v>
      </c>
      <c r="AE3" s="68">
        <v>43.27</v>
      </c>
      <c r="AF3" s="76">
        <v>43.295999999999999</v>
      </c>
    </row>
    <row r="4" spans="1:72" x14ac:dyDescent="0.2">
      <c r="A4" s="92"/>
      <c r="B4" s="100">
        <v>27</v>
      </c>
      <c r="C4" s="12">
        <v>7221.6975000000002</v>
      </c>
      <c r="D4" s="12">
        <v>45.638300000000001</v>
      </c>
      <c r="E4" s="12"/>
      <c r="F4" s="12"/>
      <c r="G4" s="57"/>
      <c r="H4" s="58"/>
      <c r="I4" s="41">
        <f t="shared" si="0"/>
        <v>0</v>
      </c>
      <c r="J4" s="7"/>
      <c r="K4" s="67"/>
      <c r="L4" s="68"/>
      <c r="M4" s="68"/>
      <c r="N4" s="68"/>
      <c r="O4" s="68"/>
      <c r="P4" s="76"/>
      <c r="Q4" s="41">
        <f t="shared" si="1"/>
        <v>0</v>
      </c>
      <c r="R4" s="39"/>
      <c r="S4" s="46"/>
      <c r="T4" s="47"/>
      <c r="U4" s="47"/>
      <c r="V4" s="47"/>
      <c r="W4" s="47"/>
      <c r="X4" s="47"/>
      <c r="Y4" s="7"/>
      <c r="Z4" s="12"/>
      <c r="AA4" s="12"/>
      <c r="AB4" s="12"/>
      <c r="AC4" s="39"/>
      <c r="AD4" s="67">
        <v>39.639600000000002</v>
      </c>
      <c r="AE4" s="68">
        <v>39.038400000000003</v>
      </c>
      <c r="AF4" s="76">
        <v>38.9544</v>
      </c>
    </row>
    <row r="5" spans="1:72" x14ac:dyDescent="0.2">
      <c r="A5" s="93"/>
      <c r="B5" s="100">
        <v>32</v>
      </c>
      <c r="C5" s="12">
        <v>3963.0974999999999</v>
      </c>
      <c r="D5" s="12">
        <v>43.408000000000001</v>
      </c>
      <c r="E5" s="12"/>
      <c r="F5" s="12"/>
      <c r="G5" s="57"/>
      <c r="H5" s="58"/>
      <c r="I5" s="41">
        <f t="shared" si="0"/>
        <v>0</v>
      </c>
      <c r="J5" s="7"/>
      <c r="K5" s="67"/>
      <c r="L5" s="68"/>
      <c r="M5" s="68"/>
      <c r="N5" s="68"/>
      <c r="O5" s="68"/>
      <c r="P5" s="76"/>
      <c r="Q5" s="41">
        <f t="shared" si="1"/>
        <v>0</v>
      </c>
      <c r="R5" s="39"/>
      <c r="S5" s="46"/>
      <c r="T5" s="47"/>
      <c r="U5" s="47"/>
      <c r="V5" s="47"/>
      <c r="W5" s="47"/>
      <c r="X5" s="47"/>
      <c r="Y5" s="7"/>
      <c r="Z5" s="12"/>
      <c r="AA5" s="12"/>
      <c r="AB5" s="12"/>
      <c r="AC5" s="39"/>
      <c r="AD5" s="67">
        <v>35.315300000000001</v>
      </c>
      <c r="AE5" s="68">
        <v>36.173999999999999</v>
      </c>
      <c r="AF5" s="76">
        <v>36.207099999999997</v>
      </c>
    </row>
    <row r="6" spans="1:72" ht="17" thickBot="1" x14ac:dyDescent="0.25">
      <c r="A6" s="94"/>
      <c r="B6" s="100">
        <v>37</v>
      </c>
      <c r="C6" s="12">
        <v>2315.3775000000001</v>
      </c>
      <c r="D6" s="12">
        <v>40.872500000000002</v>
      </c>
      <c r="E6" s="12"/>
      <c r="F6" s="12"/>
      <c r="G6" s="57"/>
      <c r="H6" s="58"/>
      <c r="I6" s="42">
        <f t="shared" si="0"/>
        <v>0</v>
      </c>
      <c r="J6" s="7"/>
      <c r="K6" s="67"/>
      <c r="L6" s="68"/>
      <c r="M6" s="68"/>
      <c r="N6" s="68"/>
      <c r="O6" s="68"/>
      <c r="P6" s="76"/>
      <c r="Q6" s="42">
        <f t="shared" si="1"/>
        <v>0</v>
      </c>
      <c r="R6" s="39"/>
      <c r="S6" s="46"/>
      <c r="T6" s="47"/>
      <c r="U6" s="47"/>
      <c r="V6" s="47"/>
      <c r="W6" s="47"/>
      <c r="X6" s="47"/>
      <c r="Y6" s="7"/>
      <c r="Z6" s="12"/>
      <c r="AA6" s="12"/>
      <c r="AB6" s="12"/>
      <c r="AC6" s="39"/>
      <c r="AD6" s="67">
        <v>31.3217</v>
      </c>
      <c r="AE6" s="68">
        <v>34.269300000000001</v>
      </c>
      <c r="AF6" s="76">
        <v>34.509</v>
      </c>
    </row>
    <row r="7" spans="1:72" x14ac:dyDescent="0.2">
      <c r="A7" s="91" t="s">
        <v>24</v>
      </c>
      <c r="B7" s="101">
        <v>22</v>
      </c>
      <c r="C7" s="16">
        <v>19157.43</v>
      </c>
      <c r="D7" s="16">
        <v>47.515799999999999</v>
      </c>
      <c r="E7" s="16"/>
      <c r="F7" s="16"/>
      <c r="G7" s="61"/>
      <c r="H7" s="62"/>
      <c r="I7" s="41">
        <f t="shared" si="0"/>
        <v>0</v>
      </c>
      <c r="J7" s="7"/>
      <c r="K7" s="71"/>
      <c r="L7" s="72"/>
      <c r="M7" s="72"/>
      <c r="N7" s="72"/>
      <c r="O7" s="72"/>
      <c r="P7" s="78"/>
      <c r="Q7" s="41">
        <f t="shared" si="1"/>
        <v>0</v>
      </c>
      <c r="R7" s="39"/>
      <c r="S7" s="50" t="e">
        <f>bdrate(C7:C10,D7:D10,K7:K10,L7:L10)</f>
        <v>#VALUE!</v>
      </c>
      <c r="T7" s="51" t="e">
        <f>bdrate(C7:C10,E7:E10,K7:K10,M7:M10)</f>
        <v>#VALUE!</v>
      </c>
      <c r="U7" s="51" t="e">
        <f>bdrate(C7:C10,F7:F10,K7:K10,N7:N10)</f>
        <v>#VALUE!</v>
      </c>
      <c r="V7" s="51" t="e">
        <f>bdrateOld(C7:C10,D7:D10,K7:K10,L7:L10)</f>
        <v>#VALUE!</v>
      </c>
      <c r="W7" s="51" t="e">
        <f>bdrateOld(C7:C10,E7:E10,K7:K10,M7:M10)</f>
        <v>#VALUE!</v>
      </c>
      <c r="X7" s="51" t="e">
        <f>bdrateOld(C7:C10,F7:F10,K7:K10,N7:N10)</f>
        <v>#VALUE!</v>
      </c>
      <c r="Y7" s="7"/>
      <c r="Z7" s="16"/>
      <c r="AA7" s="16"/>
      <c r="AB7" s="16"/>
      <c r="AC7" s="39"/>
      <c r="AD7" s="71">
        <v>50.993099999999998</v>
      </c>
      <c r="AE7" s="72">
        <v>46.039400000000001</v>
      </c>
      <c r="AF7" s="81">
        <v>46.208100000000002</v>
      </c>
    </row>
    <row r="8" spans="1:72" x14ac:dyDescent="0.2">
      <c r="A8" s="92"/>
      <c r="B8" s="100">
        <v>27</v>
      </c>
      <c r="C8" s="12">
        <v>8807.34</v>
      </c>
      <c r="D8" s="12">
        <v>45.3536</v>
      </c>
      <c r="E8" s="12"/>
      <c r="F8" s="12"/>
      <c r="G8" s="57"/>
      <c r="H8" s="58"/>
      <c r="I8" s="41">
        <f t="shared" si="0"/>
        <v>0</v>
      </c>
      <c r="J8" s="7"/>
      <c r="K8" s="67"/>
      <c r="L8" s="68"/>
      <c r="M8" s="68"/>
      <c r="N8" s="68"/>
      <c r="O8" s="68"/>
      <c r="P8" s="79"/>
      <c r="Q8" s="41">
        <f t="shared" si="1"/>
        <v>0</v>
      </c>
      <c r="R8" s="39"/>
      <c r="S8" s="46"/>
      <c r="T8" s="47"/>
      <c r="U8" s="47"/>
      <c r="V8" s="47"/>
      <c r="W8" s="47"/>
      <c r="X8" s="47"/>
      <c r="Y8" s="7"/>
      <c r="Z8" s="12"/>
      <c r="AA8" s="12"/>
      <c r="AB8" s="12"/>
      <c r="AC8" s="39"/>
      <c r="AD8" s="67">
        <v>46.2639</v>
      </c>
      <c r="AE8" s="68">
        <v>41.575099999999999</v>
      </c>
      <c r="AF8" s="76">
        <v>41.990299999999998</v>
      </c>
    </row>
    <row r="9" spans="1:72" x14ac:dyDescent="0.2">
      <c r="A9" s="93"/>
      <c r="B9" s="100">
        <v>32</v>
      </c>
      <c r="C9" s="12">
        <v>4993.9724999999999</v>
      </c>
      <c r="D9" s="12">
        <v>43.121499999999997</v>
      </c>
      <c r="E9" s="12"/>
      <c r="F9" s="12"/>
      <c r="G9" s="57"/>
      <c r="H9" s="58"/>
      <c r="I9" s="41">
        <f t="shared" si="0"/>
        <v>0</v>
      </c>
      <c r="J9" s="7"/>
      <c r="K9" s="67"/>
      <c r="L9" s="68"/>
      <c r="M9" s="68"/>
      <c r="N9" s="68"/>
      <c r="O9" s="68"/>
      <c r="P9" s="76"/>
      <c r="Q9" s="41">
        <f t="shared" si="1"/>
        <v>0</v>
      </c>
      <c r="R9" s="39"/>
      <c r="S9" s="46"/>
      <c r="T9" s="47"/>
      <c r="U9" s="47"/>
      <c r="V9" s="47"/>
      <c r="W9" s="47"/>
      <c r="X9" s="47"/>
      <c r="Y9" s="7"/>
      <c r="Z9" s="12"/>
      <c r="AA9" s="12"/>
      <c r="AB9" s="12"/>
      <c r="AC9" s="39"/>
      <c r="AD9" s="67">
        <v>41.258000000000003</v>
      </c>
      <c r="AE9" s="68">
        <v>38.6723</v>
      </c>
      <c r="AF9" s="76">
        <v>39.087499999999999</v>
      </c>
    </row>
    <row r="10" spans="1:72" x14ac:dyDescent="0.2">
      <c r="A10" s="94"/>
      <c r="B10" s="102">
        <v>37</v>
      </c>
      <c r="C10" s="13">
        <v>3013.47</v>
      </c>
      <c r="D10" s="13">
        <v>40.482700000000001</v>
      </c>
      <c r="E10" s="13"/>
      <c r="F10" s="13"/>
      <c r="G10" s="59"/>
      <c r="H10" s="60"/>
      <c r="I10" s="42">
        <f t="shared" si="0"/>
        <v>0</v>
      </c>
      <c r="J10" s="7"/>
      <c r="K10" s="69"/>
      <c r="L10" s="70"/>
      <c r="M10" s="70"/>
      <c r="N10" s="70"/>
      <c r="O10" s="70"/>
      <c r="P10" s="77"/>
      <c r="Q10" s="42">
        <f t="shared" si="1"/>
        <v>0</v>
      </c>
      <c r="R10" s="39"/>
      <c r="S10" s="48"/>
      <c r="T10" s="49"/>
      <c r="U10" s="49"/>
      <c r="V10" s="49"/>
      <c r="W10" s="49"/>
      <c r="X10" s="49"/>
      <c r="Y10" s="7"/>
      <c r="Z10" s="13"/>
      <c r="AA10" s="13"/>
      <c r="AB10" s="13"/>
      <c r="AC10" s="39"/>
      <c r="AD10" s="69">
        <v>36.073</v>
      </c>
      <c r="AE10" s="70">
        <v>36.586300000000001</v>
      </c>
      <c r="AF10" s="77">
        <v>37.015900000000002</v>
      </c>
    </row>
    <row r="11" spans="1:72" x14ac:dyDescent="0.2">
      <c r="A11" s="96" t="s">
        <v>25</v>
      </c>
      <c r="B11" s="100">
        <v>22</v>
      </c>
      <c r="C11" s="16">
        <v>12440.34</v>
      </c>
      <c r="D11" s="16">
        <v>49.159599999999998</v>
      </c>
      <c r="E11" s="16"/>
      <c r="F11" s="16"/>
      <c r="G11" s="61"/>
      <c r="H11" s="62"/>
      <c r="I11" s="41">
        <f t="shared" si="0"/>
        <v>0</v>
      </c>
      <c r="J11" s="7"/>
      <c r="K11" s="71"/>
      <c r="L11" s="72"/>
      <c r="M11" s="72"/>
      <c r="N11" s="72"/>
      <c r="O11" s="72"/>
      <c r="P11" s="81"/>
      <c r="Q11" s="41">
        <f t="shared" si="1"/>
        <v>0</v>
      </c>
      <c r="R11" s="39"/>
      <c r="S11" s="50" t="e">
        <f>bdrate(C11:C14,D11:D14,K11:K14,L11:L14)</f>
        <v>#VALUE!</v>
      </c>
      <c r="T11" s="51" t="e">
        <f>bdrate(C11:C14,E11:E14,K11:K14,M11:M14)</f>
        <v>#VALUE!</v>
      </c>
      <c r="U11" s="51" t="e">
        <f>bdrate(C11:C14,F11:F14,K11:K14,N11:N14)</f>
        <v>#VALUE!</v>
      </c>
      <c r="V11" s="51" t="e">
        <f>bdrateOld(C11:C14,D11:D14,K11:K14,L11:L14)</f>
        <v>#VALUE!</v>
      </c>
      <c r="W11" s="51" t="e">
        <f>bdrateOld(C11:C14,E11:E14,K11:K14,M11:M14)</f>
        <v>#VALUE!</v>
      </c>
      <c r="X11" s="51" t="e">
        <f>bdrateOld(C11:C14,F11:F14,K11:K14,N11:N14)</f>
        <v>#VALUE!</v>
      </c>
      <c r="Y11" s="7"/>
      <c r="Z11" s="16"/>
      <c r="AA11" s="16"/>
      <c r="AB11" s="16"/>
      <c r="AC11" s="39"/>
      <c r="AD11" s="71">
        <v>52.4499</v>
      </c>
      <c r="AE11" s="72">
        <v>49.072400000000002</v>
      </c>
      <c r="AF11" s="81">
        <v>48.583100000000002</v>
      </c>
    </row>
    <row r="12" spans="1:72" x14ac:dyDescent="0.2">
      <c r="A12" s="96"/>
      <c r="B12" s="100">
        <v>27</v>
      </c>
      <c r="C12" s="12"/>
      <c r="D12" s="12"/>
      <c r="E12" s="12"/>
      <c r="F12" s="12"/>
      <c r="G12" s="57"/>
      <c r="H12" s="58"/>
      <c r="I12" s="41">
        <f t="shared" si="0"/>
        <v>0</v>
      </c>
      <c r="J12" s="7"/>
      <c r="K12" s="67"/>
      <c r="L12" s="68"/>
      <c r="M12" s="68"/>
      <c r="N12" s="68"/>
      <c r="O12" s="68"/>
      <c r="P12" s="76"/>
      <c r="Q12" s="41">
        <f t="shared" si="1"/>
        <v>0</v>
      </c>
      <c r="R12" s="39"/>
      <c r="S12" s="46"/>
      <c r="T12" s="47"/>
      <c r="U12" s="47"/>
      <c r="V12" s="47"/>
      <c r="W12" s="47"/>
      <c r="X12" s="47"/>
      <c r="Y12" s="7"/>
      <c r="Z12" s="12"/>
      <c r="AA12" s="12"/>
      <c r="AB12" s="12"/>
      <c r="AC12" s="39"/>
      <c r="AD12" s="67">
        <v>47.094299999999997</v>
      </c>
      <c r="AE12" s="68">
        <v>44.381900000000002</v>
      </c>
      <c r="AF12" s="76">
        <v>43.460900000000002</v>
      </c>
    </row>
    <row r="13" spans="1:72" x14ac:dyDescent="0.2">
      <c r="A13" s="96"/>
      <c r="B13" s="100">
        <v>32</v>
      </c>
      <c r="C13" s="12"/>
      <c r="D13" s="12"/>
      <c r="E13" s="12"/>
      <c r="F13" s="12"/>
      <c r="G13" s="57"/>
      <c r="H13" s="58"/>
      <c r="I13" s="41">
        <f t="shared" si="0"/>
        <v>0</v>
      </c>
      <c r="J13" s="7"/>
      <c r="K13" s="67"/>
      <c r="L13" s="68"/>
      <c r="M13" s="68"/>
      <c r="N13" s="68"/>
      <c r="O13" s="68"/>
      <c r="P13" s="76"/>
      <c r="Q13" s="41">
        <f t="shared" si="1"/>
        <v>0</v>
      </c>
      <c r="R13" s="39"/>
      <c r="S13" s="46"/>
      <c r="T13" s="47"/>
      <c r="U13" s="47"/>
      <c r="V13" s="47"/>
      <c r="W13" s="47"/>
      <c r="X13" s="47"/>
      <c r="Y13" s="7"/>
      <c r="Z13" s="12"/>
      <c r="AA13" s="12"/>
      <c r="AB13" s="12"/>
      <c r="AC13" s="39"/>
      <c r="AD13" s="67">
        <v>41.313400000000001</v>
      </c>
      <c r="AE13" s="68">
        <v>40.651699999999998</v>
      </c>
      <c r="AF13" s="76">
        <v>39.285699999999999</v>
      </c>
    </row>
    <row r="14" spans="1:72" ht="17" thickBot="1" x14ac:dyDescent="0.25">
      <c r="A14" s="97"/>
      <c r="B14" s="102">
        <v>37</v>
      </c>
      <c r="C14" s="13"/>
      <c r="D14" s="13"/>
      <c r="E14" s="13"/>
      <c r="F14" s="13"/>
      <c r="G14" s="59"/>
      <c r="H14" s="60"/>
      <c r="I14" s="42">
        <f t="shared" si="0"/>
        <v>0</v>
      </c>
      <c r="J14" s="7"/>
      <c r="K14" s="69"/>
      <c r="L14" s="70"/>
      <c r="M14" s="70"/>
      <c r="N14" s="70"/>
      <c r="O14" s="70"/>
      <c r="P14" s="77"/>
      <c r="Q14" s="42">
        <f t="shared" si="1"/>
        <v>0</v>
      </c>
      <c r="R14" s="39"/>
      <c r="S14" s="48"/>
      <c r="T14" s="49"/>
      <c r="U14" s="49"/>
      <c r="V14" s="49"/>
      <c r="W14" s="49"/>
      <c r="X14" s="49"/>
      <c r="Y14" s="7"/>
      <c r="Z14" s="13"/>
      <c r="AA14" s="13"/>
      <c r="AB14" s="13"/>
      <c r="AC14" s="39"/>
      <c r="AD14" s="69">
        <v>36.2864</v>
      </c>
      <c r="AE14" s="70">
        <v>38.191099999999999</v>
      </c>
      <c r="AF14" s="77">
        <v>36.305500000000002</v>
      </c>
      <c r="AL14"/>
    </row>
    <row r="15" spans="1:72" x14ac:dyDescent="0.2">
      <c r="A15" s="91" t="s">
        <v>26</v>
      </c>
      <c r="B15" s="99">
        <v>22</v>
      </c>
      <c r="C15" s="16">
        <v>20029.282500000001</v>
      </c>
      <c r="D15" s="16">
        <v>46.783200000000001</v>
      </c>
      <c r="E15" s="16"/>
      <c r="F15" s="16"/>
      <c r="G15" s="61"/>
      <c r="H15" s="58"/>
      <c r="I15" s="41">
        <f t="shared" si="0"/>
        <v>0</v>
      </c>
      <c r="J15" s="7"/>
      <c r="K15" s="67"/>
      <c r="L15" s="68"/>
      <c r="M15" s="68"/>
      <c r="N15" s="68"/>
      <c r="O15" s="68"/>
      <c r="P15" s="76"/>
      <c r="Q15" s="41">
        <f t="shared" si="1"/>
        <v>0</v>
      </c>
      <c r="R15" s="39"/>
      <c r="S15" s="46" t="e">
        <f>bdrate(C15:C18,D15:D18,K15:K18,L15:L18)</f>
        <v>#VALUE!</v>
      </c>
      <c r="T15" s="47" t="e">
        <f>bdrate(C15:C18,E15:E18,K15:K18,M15:M18)</f>
        <v>#VALUE!</v>
      </c>
      <c r="U15" s="47" t="e">
        <f>bdrate(C15:C18,F15:F18,K15:K18,N15:N18)</f>
        <v>#VALUE!</v>
      </c>
      <c r="V15" s="47" t="e">
        <f>bdrateOld(C15:C18,D15:D18,K15:K18,L15:L18)</f>
        <v>#VALUE!</v>
      </c>
      <c r="W15" s="47" t="e">
        <f>bdrateOld(C15:C18,E15:E18,K15:K18,M15:M18)</f>
        <v>#VALUE!</v>
      </c>
      <c r="X15" s="47" t="e">
        <f>bdrateOld(C15:C18,F15:F18,K15:K18,N15:N18)</f>
        <v>#VALUE!</v>
      </c>
      <c r="Y15" s="7"/>
      <c r="Z15" s="12"/>
      <c r="AA15" s="12"/>
      <c r="AB15" s="12"/>
      <c r="AC15" s="39"/>
      <c r="AD15" s="67">
        <v>45.9998</v>
      </c>
      <c r="AE15" s="68">
        <v>44.973599999999998</v>
      </c>
      <c r="AF15" s="76">
        <v>45.084200000000003</v>
      </c>
    </row>
    <row r="16" spans="1:72" x14ac:dyDescent="0.2">
      <c r="A16" s="92"/>
      <c r="B16" s="100">
        <v>27</v>
      </c>
      <c r="C16" s="12">
        <v>9935.9325000000008</v>
      </c>
      <c r="D16" s="12">
        <v>44.575699999999998</v>
      </c>
      <c r="E16" s="12"/>
      <c r="F16" s="12"/>
      <c r="G16" s="57"/>
      <c r="H16" s="58"/>
      <c r="I16" s="41">
        <f t="shared" si="0"/>
        <v>0</v>
      </c>
      <c r="J16" s="7"/>
      <c r="K16" s="67"/>
      <c r="L16" s="68"/>
      <c r="M16" s="68"/>
      <c r="N16" s="68"/>
      <c r="O16" s="68"/>
      <c r="P16" s="76"/>
      <c r="Q16" s="41">
        <f t="shared" si="1"/>
        <v>0</v>
      </c>
      <c r="R16" s="39"/>
      <c r="S16" s="46"/>
      <c r="T16" s="47"/>
      <c r="U16" s="47"/>
      <c r="V16" s="47"/>
      <c r="W16" s="47"/>
      <c r="X16" s="47"/>
      <c r="Y16" s="7"/>
      <c r="Z16" s="12"/>
      <c r="AA16" s="12"/>
      <c r="AB16" s="12"/>
      <c r="AC16" s="39"/>
      <c r="AD16" s="67">
        <v>41.436999999999998</v>
      </c>
      <c r="AE16" s="68">
        <v>40.749400000000001</v>
      </c>
      <c r="AF16" s="76">
        <v>40.790799999999997</v>
      </c>
    </row>
    <row r="17" spans="1:38" customFormat="1" x14ac:dyDescent="0.2">
      <c r="A17" s="93"/>
      <c r="B17" s="100">
        <v>32</v>
      </c>
      <c r="C17" s="12">
        <v>5866.5150000000003</v>
      </c>
      <c r="D17" s="12">
        <v>42.2913</v>
      </c>
      <c r="E17" s="12"/>
      <c r="F17" s="12"/>
      <c r="G17" s="57"/>
      <c r="H17" s="58"/>
      <c r="I17" s="41">
        <f t="shared" si="0"/>
        <v>0</v>
      </c>
      <c r="J17" s="7"/>
      <c r="K17" s="67"/>
      <c r="L17" s="68"/>
      <c r="M17" s="68"/>
      <c r="N17" s="68"/>
      <c r="O17" s="68"/>
      <c r="P17" s="76"/>
      <c r="Q17" s="41">
        <f t="shared" si="1"/>
        <v>0</v>
      </c>
      <c r="R17" s="39"/>
      <c r="S17" s="46"/>
      <c r="T17" s="47"/>
      <c r="U17" s="47"/>
      <c r="V17" s="47"/>
      <c r="W17" s="47"/>
      <c r="X17" s="47"/>
      <c r="Y17" s="7"/>
      <c r="Z17" s="12"/>
      <c r="AA17" s="12"/>
      <c r="AB17" s="12"/>
      <c r="AC17" s="39"/>
      <c r="AD17" s="67">
        <v>36.685499999999998</v>
      </c>
      <c r="AE17" s="68">
        <v>37.945900000000002</v>
      </c>
      <c r="AF17" s="76">
        <v>37.619300000000003</v>
      </c>
      <c r="AG17" s="9"/>
      <c r="AH17" s="9"/>
      <c r="AI17" s="9"/>
      <c r="AJ17" s="9"/>
      <c r="AK17" s="9"/>
      <c r="AL17" s="9"/>
    </row>
    <row r="18" spans="1:38" customFormat="1" ht="17" thickBot="1" x14ac:dyDescent="0.25">
      <c r="A18" s="94"/>
      <c r="B18" s="100">
        <v>37</v>
      </c>
      <c r="C18" s="13">
        <v>3578.6925000000001</v>
      </c>
      <c r="D18" s="13">
        <v>39.584699999999998</v>
      </c>
      <c r="E18" s="13"/>
      <c r="F18" s="13"/>
      <c r="G18" s="59"/>
      <c r="H18" s="64"/>
      <c r="I18" s="43">
        <f t="shared" si="0"/>
        <v>0</v>
      </c>
      <c r="J18" s="7"/>
      <c r="K18" s="73"/>
      <c r="L18" s="74"/>
      <c r="M18" s="74"/>
      <c r="N18" s="74"/>
      <c r="O18" s="74"/>
      <c r="P18" s="80"/>
      <c r="Q18" s="43">
        <f t="shared" si="1"/>
        <v>0</v>
      </c>
      <c r="R18" s="39"/>
      <c r="S18" s="52"/>
      <c r="T18" s="53"/>
      <c r="U18" s="53"/>
      <c r="V18" s="53"/>
      <c r="W18" s="53"/>
      <c r="X18" s="53"/>
      <c r="Y18" s="7"/>
      <c r="Z18" s="17"/>
      <c r="AA18" s="17"/>
      <c r="AB18" s="17"/>
      <c r="AC18" s="39"/>
      <c r="AD18" s="73">
        <v>32.033499999999997</v>
      </c>
      <c r="AE18" s="74">
        <v>36.088000000000001</v>
      </c>
      <c r="AF18" s="80">
        <v>35.2575</v>
      </c>
      <c r="AG18" s="9"/>
      <c r="AH18" s="9"/>
      <c r="AI18" s="9"/>
      <c r="AJ18" s="9"/>
      <c r="AK18" s="9"/>
    </row>
    <row r="19" spans="1:38" customFormat="1" x14ac:dyDescent="0.2">
      <c r="A19" s="91" t="s">
        <v>27</v>
      </c>
      <c r="B19" s="101">
        <v>22</v>
      </c>
      <c r="C19" s="16">
        <v>17245.11</v>
      </c>
      <c r="D19" s="16">
        <v>47.701599999999999</v>
      </c>
      <c r="E19" s="16"/>
      <c r="F19" s="16"/>
      <c r="G19" s="61"/>
      <c r="H19" s="56"/>
      <c r="I19" s="41">
        <f t="shared" si="0"/>
        <v>0</v>
      </c>
      <c r="J19" s="7"/>
      <c r="K19" s="67"/>
      <c r="L19" s="68"/>
      <c r="M19" s="68"/>
      <c r="N19" s="68"/>
      <c r="O19" s="68"/>
      <c r="P19" s="76"/>
      <c r="Q19" s="41">
        <f t="shared" si="1"/>
        <v>0</v>
      </c>
      <c r="R19" s="39"/>
      <c r="S19" s="46" t="e">
        <f>bdrate(C19:C22,D19:D22,K19:K22,L19:L22)</f>
        <v>#VALUE!</v>
      </c>
      <c r="T19" s="47" t="e">
        <f>bdrate(C19:C22,E19:E22,K19:K22,M19:M22)</f>
        <v>#VALUE!</v>
      </c>
      <c r="U19" s="47" t="e">
        <f>bdrate(C19:C22,F19:F22,K19:K22,N19:N22)</f>
        <v>#VALUE!</v>
      </c>
      <c r="V19" s="47" t="e">
        <f>bdrateOld(C19:C22,D19:D22,K19:K22,L19:L22)</f>
        <v>#VALUE!</v>
      </c>
      <c r="W19" s="47" t="e">
        <f>bdrateOld(C19:C22,E19:E22,K19:K22,M19:M22)</f>
        <v>#VALUE!</v>
      </c>
      <c r="X19" s="47" t="e">
        <f>bdrateOld(C19:C22,F19:F22,K19:K22,N19:N22)</f>
        <v>#VALUE!</v>
      </c>
      <c r="Y19" s="7"/>
      <c r="Z19" s="23"/>
      <c r="AA19" s="23"/>
      <c r="AB19" s="23"/>
      <c r="AC19" s="39"/>
      <c r="AD19" s="67">
        <v>49.743099999999998</v>
      </c>
      <c r="AE19" s="68">
        <v>46.510399999999997</v>
      </c>
      <c r="AF19" s="76">
        <v>46.589399999999998</v>
      </c>
      <c r="AG19" s="9"/>
      <c r="AH19" s="9"/>
      <c r="AI19" s="9"/>
      <c r="AJ19" s="9"/>
      <c r="AK19" s="9"/>
      <c r="AL19" s="9"/>
    </row>
    <row r="20" spans="1:38" customFormat="1" x14ac:dyDescent="0.2">
      <c r="A20" s="92"/>
      <c r="B20" s="100">
        <v>27</v>
      </c>
      <c r="C20" s="12">
        <v>7783.8975</v>
      </c>
      <c r="D20" s="12">
        <v>45.562399999999997</v>
      </c>
      <c r="E20" s="12"/>
      <c r="F20" s="12"/>
      <c r="G20" s="57"/>
      <c r="H20" s="58"/>
      <c r="I20" s="41">
        <f t="shared" si="0"/>
        <v>0</v>
      </c>
      <c r="J20" s="7"/>
      <c r="K20" s="67"/>
      <c r="L20" s="68"/>
      <c r="M20" s="68"/>
      <c r="N20" s="68"/>
      <c r="O20" s="68"/>
      <c r="P20" s="76"/>
      <c r="Q20" s="41">
        <f t="shared" si="1"/>
        <v>0</v>
      </c>
      <c r="R20" s="39"/>
      <c r="S20" s="46"/>
      <c r="T20" s="47"/>
      <c r="U20" s="47"/>
      <c r="V20" s="47"/>
      <c r="W20" s="47"/>
      <c r="X20" s="47"/>
      <c r="Y20" s="7"/>
      <c r="Z20" s="12"/>
      <c r="AA20" s="12"/>
      <c r="AB20" s="12"/>
      <c r="AC20" s="39"/>
      <c r="AD20" s="67">
        <v>45.566099999999999</v>
      </c>
      <c r="AE20" s="68">
        <v>42.948300000000003</v>
      </c>
      <c r="AF20" s="76">
        <v>43.329799999999999</v>
      </c>
      <c r="AG20" s="9"/>
      <c r="AH20" s="9"/>
      <c r="AI20" s="9"/>
      <c r="AJ20" s="9"/>
      <c r="AK20" s="9"/>
      <c r="AL20" s="9"/>
    </row>
    <row r="21" spans="1:38" customFormat="1" x14ac:dyDescent="0.2">
      <c r="A21" s="93"/>
      <c r="B21" s="100">
        <v>32</v>
      </c>
      <c r="C21" s="12">
        <v>4302.5174999999999</v>
      </c>
      <c r="D21" s="12">
        <v>43.3551</v>
      </c>
      <c r="E21" s="12"/>
      <c r="F21" s="12"/>
      <c r="G21" s="57"/>
      <c r="H21" s="58"/>
      <c r="I21" s="41">
        <f t="shared" si="0"/>
        <v>0</v>
      </c>
      <c r="J21" s="7"/>
      <c r="K21" s="67"/>
      <c r="L21" s="68"/>
      <c r="M21" s="68"/>
      <c r="N21" s="68"/>
      <c r="O21" s="68"/>
      <c r="P21" s="76"/>
      <c r="Q21" s="41">
        <f t="shared" si="1"/>
        <v>0</v>
      </c>
      <c r="R21" s="39"/>
      <c r="S21" s="46"/>
      <c r="T21" s="47"/>
      <c r="U21" s="47"/>
      <c r="V21" s="47"/>
      <c r="W21" s="47"/>
      <c r="X21" s="47"/>
      <c r="Y21" s="7"/>
      <c r="Z21" s="12"/>
      <c r="AA21" s="12"/>
      <c r="AB21" s="12"/>
      <c r="AC21" s="39"/>
      <c r="AD21" s="67">
        <v>41.103900000000003</v>
      </c>
      <c r="AE21" s="68">
        <v>40.583199999999998</v>
      </c>
      <c r="AF21" s="76">
        <v>41.057499999999997</v>
      </c>
      <c r="AG21" s="9"/>
      <c r="AH21" s="9"/>
      <c r="AI21" s="9"/>
      <c r="AJ21" s="9"/>
      <c r="AK21" s="9"/>
      <c r="AL21" s="9"/>
    </row>
    <row r="22" spans="1:38" customFormat="1" x14ac:dyDescent="0.2">
      <c r="A22" s="94"/>
      <c r="B22" s="102">
        <v>37</v>
      </c>
      <c r="C22" s="13">
        <v>2498.7375000000002</v>
      </c>
      <c r="D22" s="13">
        <v>40.761600000000001</v>
      </c>
      <c r="E22" s="13"/>
      <c r="F22" s="13"/>
      <c r="G22" s="59"/>
      <c r="H22" s="58"/>
      <c r="I22" s="42">
        <f t="shared" si="0"/>
        <v>0</v>
      </c>
      <c r="J22" s="7"/>
      <c r="K22" s="67"/>
      <c r="L22" s="68"/>
      <c r="M22" s="68"/>
      <c r="N22" s="68"/>
      <c r="O22" s="68"/>
      <c r="P22" s="76"/>
      <c r="Q22" s="42">
        <f t="shared" si="1"/>
        <v>0</v>
      </c>
      <c r="R22" s="39"/>
      <c r="S22" s="46"/>
      <c r="T22" s="47"/>
      <c r="U22" s="47"/>
      <c r="V22" s="47"/>
      <c r="W22" s="47"/>
      <c r="X22" s="47"/>
      <c r="Y22" s="7"/>
      <c r="Z22" s="12"/>
      <c r="AA22" s="12"/>
      <c r="AB22" s="12"/>
      <c r="AC22" s="39"/>
      <c r="AD22" s="67">
        <v>36.4788</v>
      </c>
      <c r="AE22" s="68">
        <v>39.6173</v>
      </c>
      <c r="AF22" s="76">
        <v>39.765900000000002</v>
      </c>
      <c r="AG22" s="9"/>
      <c r="AH22" s="9"/>
      <c r="AI22" s="9"/>
      <c r="AJ22" s="9"/>
      <c r="AK22" s="9"/>
      <c r="AL22" s="9"/>
    </row>
    <row r="23" spans="1:38" customFormat="1" x14ac:dyDescent="0.2">
      <c r="A23" s="96" t="s">
        <v>28</v>
      </c>
      <c r="B23" s="100">
        <v>22</v>
      </c>
      <c r="C23" s="16"/>
      <c r="D23" s="16"/>
      <c r="E23" s="16"/>
      <c r="F23" s="16"/>
      <c r="G23" s="61"/>
      <c r="H23" s="62"/>
      <c r="I23" s="41">
        <f t="shared" si="0"/>
        <v>0</v>
      </c>
      <c r="J23" s="7"/>
      <c r="K23" s="71"/>
      <c r="L23" s="72"/>
      <c r="M23" s="72"/>
      <c r="N23" s="72"/>
      <c r="O23" s="72"/>
      <c r="P23" s="81"/>
      <c r="Q23" s="41">
        <f t="shared" si="1"/>
        <v>0</v>
      </c>
      <c r="R23" s="39"/>
      <c r="S23" s="50" t="e">
        <f>bdrate(C23:C26,D23:D26,K23:K26,L23:L26)</f>
        <v>#VALUE!</v>
      </c>
      <c r="T23" s="51" t="e">
        <f>bdrate(C23:C26,E23:E26,K23:K26,M23:M26)</f>
        <v>#VALUE!</v>
      </c>
      <c r="U23" s="51" t="e">
        <f>bdrate(C23:C26,F23:F26,K23:K26,N23:N26)</f>
        <v>#VALUE!</v>
      </c>
      <c r="V23" s="51" t="e">
        <f>bdrateOld(C23:C26,D23:D26,K23:K26,L23:L26)</f>
        <v>#VALUE!</v>
      </c>
      <c r="W23" s="51" t="e">
        <f>bdrateOld(C23:C26,E23:E26,K23:K26,M23:M26)</f>
        <v>#VALUE!</v>
      </c>
      <c r="X23" s="51" t="e">
        <f>bdrateOld(C23:C26,F23:F26,K23:K26,N23:N26)</f>
        <v>#VALUE!</v>
      </c>
      <c r="Y23" s="7"/>
      <c r="Z23" s="16"/>
      <c r="AA23" s="16"/>
      <c r="AB23" s="16"/>
      <c r="AC23" s="39"/>
      <c r="AD23" s="71">
        <v>45.799599999999998</v>
      </c>
      <c r="AE23" s="72">
        <v>46.455100000000002</v>
      </c>
      <c r="AF23" s="81">
        <v>48.962699999999998</v>
      </c>
      <c r="AG23" s="9"/>
      <c r="AH23" s="9"/>
      <c r="AI23" s="9"/>
      <c r="AJ23" s="9"/>
      <c r="AK23" s="9"/>
      <c r="AL23" s="9"/>
    </row>
    <row r="24" spans="1:38" customFormat="1" x14ac:dyDescent="0.2">
      <c r="A24" s="96"/>
      <c r="B24" s="100">
        <v>27</v>
      </c>
      <c r="C24" s="12"/>
      <c r="D24" s="12"/>
      <c r="E24" s="12"/>
      <c r="F24" s="12"/>
      <c r="G24" s="57"/>
      <c r="H24" s="58"/>
      <c r="I24" s="41">
        <f t="shared" si="0"/>
        <v>0</v>
      </c>
      <c r="J24" s="7"/>
      <c r="K24" s="67"/>
      <c r="L24" s="68"/>
      <c r="M24" s="68"/>
      <c r="N24" s="68"/>
      <c r="O24" s="68"/>
      <c r="P24" s="76"/>
      <c r="Q24" s="41">
        <f t="shared" si="1"/>
        <v>0</v>
      </c>
      <c r="R24" s="39"/>
      <c r="S24" s="46"/>
      <c r="T24" s="47"/>
      <c r="U24" s="47"/>
      <c r="V24" s="47"/>
      <c r="W24" s="47"/>
      <c r="X24" s="47"/>
      <c r="Y24" s="7"/>
      <c r="Z24" s="12"/>
      <c r="AA24" s="12"/>
      <c r="AB24" s="12"/>
      <c r="AC24" s="39"/>
      <c r="AD24" s="67">
        <v>41.230499999999999</v>
      </c>
      <c r="AE24" s="68">
        <v>43.017699999999998</v>
      </c>
      <c r="AF24" s="76">
        <v>46.188099999999999</v>
      </c>
      <c r="AG24" s="9"/>
      <c r="AH24" s="9"/>
      <c r="AI24" s="9"/>
      <c r="AJ24" s="9"/>
      <c r="AK24" s="9"/>
      <c r="AL24" s="9"/>
    </row>
    <row r="25" spans="1:38" customFormat="1" x14ac:dyDescent="0.2">
      <c r="A25" s="96"/>
      <c r="B25" s="100">
        <v>32</v>
      </c>
      <c r="C25" s="12"/>
      <c r="D25" s="12"/>
      <c r="E25" s="12"/>
      <c r="F25" s="12"/>
      <c r="G25" s="57"/>
      <c r="H25" s="58"/>
      <c r="I25" s="41">
        <f t="shared" si="0"/>
        <v>0</v>
      </c>
      <c r="J25" s="7"/>
      <c r="K25" s="67"/>
      <c r="L25" s="68"/>
      <c r="M25" s="68"/>
      <c r="N25" s="68"/>
      <c r="O25" s="68"/>
      <c r="P25" s="76"/>
      <c r="Q25" s="41">
        <f t="shared" si="1"/>
        <v>0</v>
      </c>
      <c r="R25" s="39"/>
      <c r="S25" s="46"/>
      <c r="T25" s="47"/>
      <c r="U25" s="47"/>
      <c r="V25" s="47"/>
      <c r="W25" s="47"/>
      <c r="X25" s="47"/>
      <c r="Y25" s="7"/>
      <c r="Z25" s="12"/>
      <c r="AA25" s="12"/>
      <c r="AB25" s="12"/>
      <c r="AC25" s="39"/>
      <c r="AD25" s="67">
        <v>36.712600000000002</v>
      </c>
      <c r="AE25" s="68">
        <v>40.206600000000002</v>
      </c>
      <c r="AF25" s="76">
        <v>43.829300000000003</v>
      </c>
      <c r="AG25" s="9"/>
      <c r="AH25" s="9"/>
      <c r="AI25" s="9"/>
      <c r="AJ25" s="9"/>
      <c r="AK25" s="9"/>
      <c r="AL25" s="9"/>
    </row>
    <row r="26" spans="1:38" customFormat="1" ht="17" thickBot="1" x14ac:dyDescent="0.25">
      <c r="A26" s="97"/>
      <c r="B26" s="102">
        <v>37</v>
      </c>
      <c r="C26" s="13"/>
      <c r="D26" s="13"/>
      <c r="E26" s="13"/>
      <c r="F26" s="13"/>
      <c r="G26" s="59"/>
      <c r="H26" s="60"/>
      <c r="I26" s="42">
        <f t="shared" si="0"/>
        <v>0</v>
      </c>
      <c r="J26" s="7"/>
      <c r="K26" s="69"/>
      <c r="L26" s="70"/>
      <c r="M26" s="70"/>
      <c r="N26" s="70"/>
      <c r="O26" s="70"/>
      <c r="P26" s="77"/>
      <c r="Q26" s="42">
        <f t="shared" si="1"/>
        <v>0</v>
      </c>
      <c r="R26" s="39"/>
      <c r="S26" s="48"/>
      <c r="T26" s="49"/>
      <c r="U26" s="49"/>
      <c r="V26" s="49"/>
      <c r="W26" s="49"/>
      <c r="X26" s="49"/>
      <c r="Y26" s="7"/>
      <c r="Z26" s="13"/>
      <c r="AA26" s="13"/>
      <c r="AB26" s="13"/>
      <c r="AC26" s="39"/>
      <c r="AD26" s="69">
        <v>33.1556</v>
      </c>
      <c r="AE26" s="70">
        <v>38.021000000000001</v>
      </c>
      <c r="AF26" s="77">
        <v>42.113999999999997</v>
      </c>
      <c r="AG26" s="9"/>
      <c r="AH26" s="9"/>
      <c r="AI26" s="9"/>
      <c r="AJ26" s="9"/>
      <c r="AK26" s="9"/>
      <c r="AL26" s="9"/>
    </row>
    <row r="27" spans="1:38" customFormat="1" x14ac:dyDescent="0.2">
      <c r="A27" s="93" t="s">
        <v>29</v>
      </c>
      <c r="B27" s="99">
        <v>22</v>
      </c>
      <c r="C27" s="16"/>
      <c r="D27" s="16"/>
      <c r="E27" s="16"/>
      <c r="F27" s="16"/>
      <c r="G27" s="61"/>
      <c r="H27" s="62"/>
      <c r="I27" s="41">
        <f t="shared" si="0"/>
        <v>0</v>
      </c>
      <c r="J27" s="7"/>
      <c r="K27" s="71"/>
      <c r="L27" s="72"/>
      <c r="M27" s="72"/>
      <c r="N27" s="72"/>
      <c r="O27" s="72"/>
      <c r="P27" s="81"/>
      <c r="Q27" s="41">
        <f t="shared" si="1"/>
        <v>0</v>
      </c>
      <c r="R27" s="39"/>
      <c r="S27" s="50" t="e">
        <f>bdrate(C27:C30,D27:D30,K27:K30,L27:L30)</f>
        <v>#VALUE!</v>
      </c>
      <c r="T27" s="51" t="e">
        <f>bdrate(C27:C30,E27:E30,K27:K30,M27:M30)</f>
        <v>#VALUE!</v>
      </c>
      <c r="U27" s="51" t="e">
        <f>bdrate(C27:C30,F27:F30,K27:K30,N27:N30)</f>
        <v>#VALUE!</v>
      </c>
      <c r="V27" s="51" t="e">
        <f>bdrateOld(C27:C30,D27:D30,K27:K30,L27:L30)</f>
        <v>#VALUE!</v>
      </c>
      <c r="W27" s="51" t="e">
        <f>bdrateOld(C27:C30,E27:E30,K27:K30,M27:M30)</f>
        <v>#VALUE!</v>
      </c>
      <c r="X27" s="51" t="e">
        <f>bdrateOld(C27:C30,F27:F30,K27:K30,N27:N30)</f>
        <v>#VALUE!</v>
      </c>
      <c r="Y27" s="7"/>
      <c r="Z27" s="16"/>
      <c r="AA27" s="16"/>
      <c r="AB27" s="16"/>
      <c r="AC27" s="39"/>
      <c r="AD27" s="71">
        <v>47.101399999999998</v>
      </c>
      <c r="AE27" s="72">
        <v>45.073599999999999</v>
      </c>
      <c r="AF27" s="81">
        <v>45.569099999999999</v>
      </c>
      <c r="AG27" s="9"/>
      <c r="AH27" s="9"/>
      <c r="AI27" s="9"/>
      <c r="AJ27" s="9"/>
      <c r="AK27" s="9"/>
      <c r="AL27" s="9"/>
    </row>
    <row r="28" spans="1:38" customFormat="1" x14ac:dyDescent="0.2">
      <c r="A28" s="92"/>
      <c r="B28" s="100">
        <v>27</v>
      </c>
      <c r="C28" s="12"/>
      <c r="D28" s="12"/>
      <c r="E28" s="12"/>
      <c r="F28" s="12"/>
      <c r="G28" s="57"/>
      <c r="H28" s="58"/>
      <c r="I28" s="41">
        <f t="shared" si="0"/>
        <v>0</v>
      </c>
      <c r="J28" s="7"/>
      <c r="K28" s="67"/>
      <c r="L28" s="68"/>
      <c r="M28" s="68"/>
      <c r="N28" s="68"/>
      <c r="O28" s="68"/>
      <c r="P28" s="76"/>
      <c r="Q28" s="41">
        <f t="shared" si="1"/>
        <v>0</v>
      </c>
      <c r="R28" s="39"/>
      <c r="S28" s="46"/>
      <c r="T28" s="47"/>
      <c r="U28" s="47"/>
      <c r="V28" s="47"/>
      <c r="W28" s="47"/>
      <c r="X28" s="47"/>
      <c r="Y28" s="7"/>
      <c r="Z28" s="12"/>
      <c r="AA28" s="12"/>
      <c r="AB28" s="12"/>
      <c r="AC28" s="39"/>
      <c r="AD28" s="67">
        <v>42.771999999999998</v>
      </c>
      <c r="AE28" s="68">
        <v>40.977200000000003</v>
      </c>
      <c r="AF28" s="76">
        <v>41.878</v>
      </c>
      <c r="AG28" s="9"/>
      <c r="AH28" s="9"/>
      <c r="AI28" s="9"/>
      <c r="AJ28" s="9"/>
      <c r="AK28" s="9"/>
      <c r="AL28" s="9"/>
    </row>
    <row r="29" spans="1:38" customFormat="1" x14ac:dyDescent="0.2">
      <c r="A29" s="92"/>
      <c r="B29" s="100">
        <v>32</v>
      </c>
      <c r="C29" s="12"/>
      <c r="D29" s="12"/>
      <c r="E29" s="12"/>
      <c r="F29" s="12"/>
      <c r="G29" s="57"/>
      <c r="H29" s="58"/>
      <c r="I29" s="41">
        <f t="shared" si="0"/>
        <v>0</v>
      </c>
      <c r="J29" s="7"/>
      <c r="K29" s="67"/>
      <c r="L29" s="68"/>
      <c r="M29" s="68"/>
      <c r="N29" s="68"/>
      <c r="O29" s="68"/>
      <c r="P29" s="76"/>
      <c r="Q29" s="41">
        <f t="shared" si="1"/>
        <v>0</v>
      </c>
      <c r="R29" s="39"/>
      <c r="S29" s="46"/>
      <c r="T29" s="47"/>
      <c r="U29" s="47"/>
      <c r="V29" s="47"/>
      <c r="W29" s="47"/>
      <c r="X29" s="54"/>
      <c r="Y29" s="7"/>
      <c r="Z29" s="12"/>
      <c r="AA29" s="12"/>
      <c r="AB29" s="12"/>
      <c r="AC29" s="39"/>
      <c r="AD29" s="67">
        <v>38.264499999999998</v>
      </c>
      <c r="AE29" s="68">
        <v>37.8626</v>
      </c>
      <c r="AF29" s="76">
        <v>39.237699999999997</v>
      </c>
      <c r="AG29" s="9"/>
      <c r="AH29" s="9"/>
      <c r="AI29" s="9"/>
      <c r="AJ29" s="9"/>
      <c r="AK29" s="9"/>
      <c r="AL29" s="9"/>
    </row>
    <row r="30" spans="1:38" customFormat="1" x14ac:dyDescent="0.2">
      <c r="A30" s="95"/>
      <c r="B30" s="100">
        <v>37</v>
      </c>
      <c r="C30" s="13"/>
      <c r="D30" s="13"/>
      <c r="E30" s="13"/>
      <c r="F30" s="13"/>
      <c r="G30" s="59"/>
      <c r="H30" s="60"/>
      <c r="I30" s="42">
        <f t="shared" si="0"/>
        <v>0</v>
      </c>
      <c r="J30" s="7"/>
      <c r="K30" s="69"/>
      <c r="L30" s="70"/>
      <c r="M30" s="70"/>
      <c r="N30" s="70"/>
      <c r="O30" s="70"/>
      <c r="P30" s="77"/>
      <c r="Q30" s="42">
        <f t="shared" si="1"/>
        <v>0</v>
      </c>
      <c r="R30" s="39"/>
      <c r="S30" s="48"/>
      <c r="T30" s="49"/>
      <c r="U30" s="49"/>
      <c r="V30" s="49"/>
      <c r="W30" s="49"/>
      <c r="X30" s="49"/>
      <c r="Y30" s="7"/>
      <c r="Z30" s="13"/>
      <c r="AA30" s="13"/>
      <c r="AB30" s="13"/>
      <c r="AC30" s="39"/>
      <c r="AD30" s="69">
        <v>34.083599999999997</v>
      </c>
      <c r="AE30" s="70">
        <v>35.810899999999997</v>
      </c>
      <c r="AF30" s="77">
        <v>37.281399999999998</v>
      </c>
      <c r="AG30" s="9"/>
      <c r="AH30" s="9"/>
      <c r="AI30" s="9"/>
      <c r="AJ30" s="9"/>
      <c r="AK30" s="9"/>
      <c r="AL30" s="9"/>
    </row>
    <row r="31" spans="1:38" customFormat="1" x14ac:dyDescent="0.2">
      <c r="A31" s="96" t="s">
        <v>30</v>
      </c>
      <c r="B31" s="101">
        <v>22</v>
      </c>
      <c r="C31" s="12"/>
      <c r="D31" s="12"/>
      <c r="E31" s="12"/>
      <c r="F31" s="12"/>
      <c r="G31" s="57"/>
      <c r="H31" s="58"/>
      <c r="I31" s="41">
        <f t="shared" si="0"/>
        <v>0</v>
      </c>
      <c r="J31" s="7"/>
      <c r="K31" s="67"/>
      <c r="L31" s="68"/>
      <c r="M31" s="68"/>
      <c r="N31" s="68"/>
      <c r="O31" s="68"/>
      <c r="P31" s="76"/>
      <c r="Q31" s="41">
        <f t="shared" si="1"/>
        <v>0</v>
      </c>
      <c r="R31" s="39"/>
      <c r="S31" s="46" t="e">
        <f>bdrate(C31:C34,D31:D34,K31:K34,L31:L34)</f>
        <v>#VALUE!</v>
      </c>
      <c r="T31" s="47" t="e">
        <f>bdrate(C31:C34,E31:E34,K31:K34,M31:M34)</f>
        <v>#VALUE!</v>
      </c>
      <c r="U31" s="47" t="e">
        <f>bdrate(C31:C34,F31:F34,K31:K34,N31:N34)</f>
        <v>#VALUE!</v>
      </c>
      <c r="V31" s="47" t="e">
        <f>bdrateOld(C31:C34,D31:D34,K31:K34,L31:L34)</f>
        <v>#VALUE!</v>
      </c>
      <c r="W31" s="47" t="e">
        <f>bdrateOld(C31:C34,E31:E34,K31:K34,M31:M34)</f>
        <v>#VALUE!</v>
      </c>
      <c r="X31" s="47" t="e">
        <f>bdrateOld(C31:C34,F31:F34,K31:K34,N31:N34)</f>
        <v>#VALUE!</v>
      </c>
      <c r="Y31" s="7"/>
      <c r="Z31" s="12"/>
      <c r="AA31" s="12"/>
      <c r="AB31" s="12"/>
      <c r="AC31" s="39"/>
      <c r="AD31" s="67">
        <v>48.057600000000001</v>
      </c>
      <c r="AE31" s="68">
        <v>50.690100000000001</v>
      </c>
      <c r="AF31" s="76">
        <v>51.807000000000002</v>
      </c>
      <c r="AG31" s="9"/>
      <c r="AH31" s="9"/>
      <c r="AI31" s="9"/>
      <c r="AJ31" s="9"/>
      <c r="AK31" s="9"/>
      <c r="AL31" s="9"/>
    </row>
    <row r="32" spans="1:38" customFormat="1" x14ac:dyDescent="0.2">
      <c r="A32" s="96"/>
      <c r="B32" s="100">
        <v>27</v>
      </c>
      <c r="C32" s="12"/>
      <c r="D32" s="12"/>
      <c r="E32" s="12"/>
      <c r="F32" s="12"/>
      <c r="G32" s="57"/>
      <c r="H32" s="58"/>
      <c r="I32" s="41">
        <f t="shared" si="0"/>
        <v>0</v>
      </c>
      <c r="J32" s="7"/>
      <c r="K32" s="67"/>
      <c r="L32" s="68"/>
      <c r="M32" s="68"/>
      <c r="N32" s="68"/>
      <c r="O32" s="68"/>
      <c r="P32" s="76"/>
      <c r="Q32" s="41">
        <f t="shared" si="1"/>
        <v>0</v>
      </c>
      <c r="R32" s="39"/>
      <c r="S32" s="46"/>
      <c r="T32" s="47"/>
      <c r="U32" s="47"/>
      <c r="V32" s="47"/>
      <c r="W32" s="47"/>
      <c r="X32" s="47"/>
      <c r="Y32" s="7"/>
      <c r="Z32" s="12"/>
      <c r="AA32" s="12"/>
      <c r="AB32" s="12"/>
      <c r="AC32" s="39"/>
      <c r="AD32" s="67">
        <v>44.296399999999998</v>
      </c>
      <c r="AE32" s="68">
        <v>47.305500000000002</v>
      </c>
      <c r="AF32" s="76">
        <v>48.673099999999998</v>
      </c>
      <c r="AG32" s="9"/>
      <c r="AH32" s="9"/>
      <c r="AI32" s="9"/>
      <c r="AJ32" s="9"/>
      <c r="AK32" s="9"/>
      <c r="AL32" s="9"/>
    </row>
    <row r="33" spans="1:32" customFormat="1" x14ac:dyDescent="0.2">
      <c r="A33" s="96"/>
      <c r="B33" s="100">
        <v>32</v>
      </c>
      <c r="C33" s="12"/>
      <c r="D33" s="12"/>
      <c r="E33" s="12"/>
      <c r="F33" s="12"/>
      <c r="G33" s="57"/>
      <c r="H33" s="58"/>
      <c r="I33" s="41">
        <f t="shared" si="0"/>
        <v>0</v>
      </c>
      <c r="J33" s="7"/>
      <c r="K33" s="67"/>
      <c r="L33" s="68"/>
      <c r="M33" s="68"/>
      <c r="N33" s="68"/>
      <c r="O33" s="68"/>
      <c r="P33" s="76"/>
      <c r="Q33" s="41">
        <f t="shared" si="1"/>
        <v>0</v>
      </c>
      <c r="R33" s="39"/>
      <c r="S33" s="46"/>
      <c r="T33" s="47"/>
      <c r="U33" s="47"/>
      <c r="V33" s="47"/>
      <c r="W33" s="47"/>
      <c r="X33" s="47"/>
      <c r="Y33" s="7"/>
      <c r="Z33" s="12"/>
      <c r="AA33" s="12"/>
      <c r="AB33" s="12"/>
      <c r="AC33" s="39"/>
      <c r="AD33" s="67">
        <v>40.531799999999997</v>
      </c>
      <c r="AE33" s="68">
        <v>44.582000000000001</v>
      </c>
      <c r="AF33" s="76">
        <v>46.042299999999997</v>
      </c>
    </row>
    <row r="34" spans="1:32" customFormat="1" ht="17" thickBot="1" x14ac:dyDescent="0.25">
      <c r="A34" s="95"/>
      <c r="B34" s="102">
        <v>37</v>
      </c>
      <c r="C34" s="17"/>
      <c r="D34" s="17"/>
      <c r="E34" s="17"/>
      <c r="F34" s="17"/>
      <c r="G34" s="63"/>
      <c r="H34" s="64"/>
      <c r="I34" s="43">
        <f t="shared" si="0"/>
        <v>0</v>
      </c>
      <c r="J34" s="7"/>
      <c r="K34" s="73"/>
      <c r="L34" s="74"/>
      <c r="M34" s="74"/>
      <c r="N34" s="74"/>
      <c r="O34" s="74"/>
      <c r="P34" s="80"/>
      <c r="Q34" s="43">
        <f t="shared" si="1"/>
        <v>0</v>
      </c>
      <c r="R34" s="39"/>
      <c r="S34" s="52"/>
      <c r="T34" s="53"/>
      <c r="U34" s="53"/>
      <c r="V34" s="53"/>
      <c r="W34" s="53"/>
      <c r="X34" s="53"/>
      <c r="Y34" s="7"/>
      <c r="Z34" s="17"/>
      <c r="AA34" s="17"/>
      <c r="AB34" s="17"/>
      <c r="AC34" s="39"/>
      <c r="AD34" s="73">
        <v>36.872799999999998</v>
      </c>
      <c r="AE34" s="74">
        <v>42.6783</v>
      </c>
      <c r="AF34" s="80">
        <v>44.372900000000001</v>
      </c>
    </row>
    <row r="35" spans="1:32" customFormat="1" x14ac:dyDescent="0.2">
      <c r="A35" s="96" t="s">
        <v>31</v>
      </c>
      <c r="B35" s="100">
        <v>22</v>
      </c>
      <c r="C35" s="23"/>
      <c r="D35" s="23"/>
      <c r="E35" s="23"/>
      <c r="F35" s="23"/>
      <c r="G35" s="55"/>
      <c r="H35" s="56"/>
      <c r="I35" s="41">
        <f t="shared" si="0"/>
        <v>0</v>
      </c>
      <c r="J35" s="7"/>
      <c r="K35" s="67"/>
      <c r="L35" s="68"/>
      <c r="M35" s="68"/>
      <c r="N35" s="68"/>
      <c r="O35" s="68"/>
      <c r="P35" s="76"/>
      <c r="Q35" s="41">
        <f t="shared" si="1"/>
        <v>0</v>
      </c>
      <c r="R35" s="39"/>
      <c r="S35" s="46" t="e">
        <f>bdrate(C35:C38,D35:D38,K35:K38,L35:L38)</f>
        <v>#VALUE!</v>
      </c>
      <c r="T35" s="47" t="e">
        <f>bdrate(C35:C38,E35:E38,K35:K38,M35:M38)</f>
        <v>#VALUE!</v>
      </c>
      <c r="U35" s="47" t="e">
        <f>bdrate(C35:C38,F35:F38,K35:K38,N35:N38)</f>
        <v>#VALUE!</v>
      </c>
      <c r="V35" s="47" t="e">
        <f>bdrateOld(C35:C38,D35:D38,K35:K38,L35:L38)</f>
        <v>#VALUE!</v>
      </c>
      <c r="W35" s="47" t="e">
        <f>bdrateOld(C35:C38,E35:E38,K35:K38,M35:M38)</f>
        <v>#VALUE!</v>
      </c>
      <c r="X35" s="47" t="e">
        <f>bdrateOld(C35:C38,F35:F38,K35:K38,N35:N38)</f>
        <v>#VALUE!</v>
      </c>
      <c r="Y35" s="7"/>
      <c r="Z35" s="23"/>
      <c r="AA35" s="23"/>
      <c r="AB35" s="23"/>
      <c r="AC35" s="39"/>
      <c r="AD35" s="67">
        <v>46.044800000000002</v>
      </c>
      <c r="AE35" s="68">
        <v>48.341799999999999</v>
      </c>
      <c r="AF35" s="76">
        <v>48.306399999999996</v>
      </c>
    </row>
    <row r="36" spans="1:32" customFormat="1" x14ac:dyDescent="0.2">
      <c r="A36" s="96"/>
      <c r="B36" s="100">
        <v>27</v>
      </c>
      <c r="C36" s="12"/>
      <c r="D36" s="12"/>
      <c r="E36" s="12"/>
      <c r="F36" s="12"/>
      <c r="G36" s="57"/>
      <c r="H36" s="58"/>
      <c r="I36" s="41">
        <f t="shared" si="0"/>
        <v>0</v>
      </c>
      <c r="J36" s="7"/>
      <c r="K36" s="67"/>
      <c r="L36" s="68"/>
      <c r="M36" s="68"/>
      <c r="N36" s="68"/>
      <c r="O36" s="68"/>
      <c r="P36" s="76"/>
      <c r="Q36" s="41">
        <f t="shared" si="1"/>
        <v>0</v>
      </c>
      <c r="R36" s="39"/>
      <c r="S36" s="46"/>
      <c r="T36" s="47"/>
      <c r="U36" s="47"/>
      <c r="V36" s="47"/>
      <c r="W36" s="47"/>
      <c r="X36" s="47"/>
      <c r="Y36" s="7"/>
      <c r="Z36" s="12"/>
      <c r="AA36" s="12"/>
      <c r="AB36" s="12"/>
      <c r="AC36" s="39"/>
      <c r="AD36" s="67">
        <v>42.609499999999997</v>
      </c>
      <c r="AE36" s="68">
        <v>44.7241</v>
      </c>
      <c r="AF36" s="76">
        <v>44.720100000000002</v>
      </c>
    </row>
    <row r="37" spans="1:32" customFormat="1" x14ac:dyDescent="0.2">
      <c r="A37" s="96"/>
      <c r="B37" s="100">
        <v>32</v>
      </c>
      <c r="C37" s="12"/>
      <c r="D37" s="12"/>
      <c r="E37" s="12"/>
      <c r="F37" s="12"/>
      <c r="G37" s="57"/>
      <c r="H37" s="58"/>
      <c r="I37" s="41">
        <f t="shared" si="0"/>
        <v>0</v>
      </c>
      <c r="J37" s="7"/>
      <c r="K37" s="67"/>
      <c r="L37" s="68"/>
      <c r="M37" s="68"/>
      <c r="N37" s="68"/>
      <c r="O37" s="68"/>
      <c r="P37" s="76"/>
      <c r="Q37" s="41">
        <f t="shared" si="1"/>
        <v>0</v>
      </c>
      <c r="R37" s="39"/>
      <c r="S37" s="46"/>
      <c r="T37" s="47"/>
      <c r="U37" s="47"/>
      <c r="V37" s="47"/>
      <c r="W37" s="47"/>
      <c r="X37" s="47"/>
      <c r="Y37" s="7"/>
      <c r="Z37" s="12"/>
      <c r="AA37" s="12"/>
      <c r="AB37" s="12"/>
      <c r="AC37" s="39"/>
      <c r="AD37" s="67">
        <v>39.027200000000001</v>
      </c>
      <c r="AE37" s="68">
        <v>41.993299999999998</v>
      </c>
      <c r="AF37" s="76">
        <v>42.205399999999997</v>
      </c>
    </row>
    <row r="38" spans="1:32" customFormat="1" ht="17" thickBot="1" x14ac:dyDescent="0.25">
      <c r="A38" s="95"/>
      <c r="B38" s="102">
        <v>37</v>
      </c>
      <c r="C38" s="12"/>
      <c r="D38" s="12"/>
      <c r="E38" s="12"/>
      <c r="F38" s="12"/>
      <c r="G38" s="57"/>
      <c r="H38" s="58"/>
      <c r="I38" s="42">
        <f t="shared" si="0"/>
        <v>0</v>
      </c>
      <c r="J38" s="7"/>
      <c r="K38" s="67"/>
      <c r="L38" s="68"/>
      <c r="M38" s="68"/>
      <c r="N38" s="68"/>
      <c r="O38" s="68"/>
      <c r="P38" s="76"/>
      <c r="Q38" s="42">
        <f t="shared" si="1"/>
        <v>0</v>
      </c>
      <c r="R38" s="39"/>
      <c r="S38" s="46"/>
      <c r="T38" s="47"/>
      <c r="U38" s="47"/>
      <c r="V38" s="47"/>
      <c r="W38" s="47"/>
      <c r="X38" s="47"/>
      <c r="Y38" s="7"/>
      <c r="Z38" s="12"/>
      <c r="AA38" s="12"/>
      <c r="AB38" s="12"/>
      <c r="AC38" s="39"/>
      <c r="AD38" s="67">
        <v>35.419600000000003</v>
      </c>
      <c r="AE38" s="68">
        <v>40.399299999999997</v>
      </c>
      <c r="AF38" s="76">
        <v>40.579500000000003</v>
      </c>
    </row>
    <row r="39" spans="1:32" customFormat="1" x14ac:dyDescent="0.2">
      <c r="A39" s="93" t="s">
        <v>32</v>
      </c>
      <c r="B39" s="99">
        <v>22</v>
      </c>
      <c r="C39" s="16"/>
      <c r="D39" s="16"/>
      <c r="E39" s="16"/>
      <c r="F39" s="16"/>
      <c r="G39" s="61"/>
      <c r="H39" s="62"/>
      <c r="I39" s="41">
        <f t="shared" si="0"/>
        <v>0</v>
      </c>
      <c r="J39" s="7"/>
      <c r="K39" s="71"/>
      <c r="L39" s="72"/>
      <c r="M39" s="72"/>
      <c r="N39" s="72"/>
      <c r="O39" s="72"/>
      <c r="P39" s="81"/>
      <c r="Q39" s="41">
        <f t="shared" si="1"/>
        <v>0</v>
      </c>
      <c r="R39" s="39"/>
      <c r="S39" s="50" t="e">
        <f>bdrate(C39:C42,D39:D42,K39:K42,L39:L42)</f>
        <v>#VALUE!</v>
      </c>
      <c r="T39" s="51" t="e">
        <f>bdrate(C39:C42,E39:E42,K39:K42,M39:M42)</f>
        <v>#VALUE!</v>
      </c>
      <c r="U39" s="51" t="e">
        <f>bdrate(C39:C42,F39:F42,K39:K42,N39:N42)</f>
        <v>#VALUE!</v>
      </c>
      <c r="V39" s="51" t="e">
        <f>bdrateOld(C39:C42,D39:D42,K39:K42,L39:L42)</f>
        <v>#VALUE!</v>
      </c>
      <c r="W39" s="51" t="e">
        <f>bdrateOld(C39:C42,E39:E42,K39:K42,M39:M42)</f>
        <v>#VALUE!</v>
      </c>
      <c r="X39" s="51" t="e">
        <f>bdrateOld(C39:C42,F39:F42,K39:K42,N39:N42)</f>
        <v>#VALUE!</v>
      </c>
      <c r="Y39" s="7"/>
      <c r="Z39" s="16"/>
      <c r="AA39" s="16"/>
      <c r="AB39" s="16"/>
      <c r="AC39" s="39"/>
      <c r="AD39" s="71">
        <v>44.924500000000002</v>
      </c>
      <c r="AE39" s="72">
        <v>48.659100000000002</v>
      </c>
      <c r="AF39" s="81">
        <v>49.6967</v>
      </c>
    </row>
    <row r="40" spans="1:32" customFormat="1" x14ac:dyDescent="0.2">
      <c r="A40" s="92"/>
      <c r="B40" s="100">
        <v>27</v>
      </c>
      <c r="C40" s="12"/>
      <c r="D40" s="12"/>
      <c r="E40" s="12"/>
      <c r="F40" s="12"/>
      <c r="G40" s="57"/>
      <c r="H40" s="58"/>
      <c r="I40" s="41">
        <f t="shared" si="0"/>
        <v>0</v>
      </c>
      <c r="J40" s="7"/>
      <c r="K40" s="67"/>
      <c r="L40" s="68"/>
      <c r="M40" s="68"/>
      <c r="N40" s="68"/>
      <c r="O40" s="68"/>
      <c r="P40" s="76"/>
      <c r="Q40" s="41">
        <f t="shared" si="1"/>
        <v>0</v>
      </c>
      <c r="R40" s="39"/>
      <c r="S40" s="46"/>
      <c r="T40" s="47"/>
      <c r="U40" s="47"/>
      <c r="V40" s="47"/>
      <c r="W40" s="47"/>
      <c r="X40" s="47"/>
      <c r="Y40" s="7"/>
      <c r="Z40" s="12"/>
      <c r="AA40" s="12"/>
      <c r="AB40" s="12"/>
      <c r="AC40" s="39"/>
      <c r="AD40" s="67">
        <v>41.466700000000003</v>
      </c>
      <c r="AE40" s="68">
        <v>45.606900000000003</v>
      </c>
      <c r="AF40" s="76">
        <v>46.764299999999999</v>
      </c>
    </row>
    <row r="41" spans="1:32" customFormat="1" x14ac:dyDescent="0.2">
      <c r="A41" s="92"/>
      <c r="B41" s="100">
        <v>32</v>
      </c>
      <c r="C41" s="12"/>
      <c r="D41" s="12"/>
      <c r="E41" s="12"/>
      <c r="F41" s="12"/>
      <c r="G41" s="57"/>
      <c r="H41" s="58"/>
      <c r="I41" s="41">
        <f t="shared" si="0"/>
        <v>0</v>
      </c>
      <c r="J41" s="7"/>
      <c r="K41" s="67"/>
      <c r="L41" s="68"/>
      <c r="M41" s="68"/>
      <c r="N41" s="68"/>
      <c r="O41" s="68"/>
      <c r="P41" s="76"/>
      <c r="Q41" s="41">
        <f t="shared" si="1"/>
        <v>0</v>
      </c>
      <c r="R41" s="39"/>
      <c r="S41" s="46"/>
      <c r="T41" s="47"/>
      <c r="U41" s="47"/>
      <c r="V41" s="47"/>
      <c r="W41" s="47"/>
      <c r="X41" s="47"/>
      <c r="Y41" s="7"/>
      <c r="Z41" s="12"/>
      <c r="AA41" s="12"/>
      <c r="AB41" s="12"/>
      <c r="AC41" s="39"/>
      <c r="AD41" s="67">
        <v>38.079000000000001</v>
      </c>
      <c r="AE41" s="68">
        <v>43.180399999999999</v>
      </c>
      <c r="AF41" s="76">
        <v>44.5077</v>
      </c>
    </row>
    <row r="42" spans="1:32" customFormat="1" ht="17" thickBot="1" x14ac:dyDescent="0.25">
      <c r="A42" s="95"/>
      <c r="B42" s="100">
        <v>37</v>
      </c>
      <c r="C42" s="17"/>
      <c r="D42" s="17"/>
      <c r="E42" s="17"/>
      <c r="F42" s="17"/>
      <c r="G42" s="63"/>
      <c r="H42" s="64"/>
      <c r="I42" s="43">
        <f t="shared" si="0"/>
        <v>0</v>
      </c>
      <c r="J42" s="7"/>
      <c r="K42" s="73"/>
      <c r="L42" s="74"/>
      <c r="M42" s="74"/>
      <c r="N42" s="74"/>
      <c r="O42" s="74"/>
      <c r="P42" s="80"/>
      <c r="Q42" s="43">
        <f t="shared" si="1"/>
        <v>0</v>
      </c>
      <c r="R42" s="39"/>
      <c r="S42" s="52"/>
      <c r="T42" s="53"/>
      <c r="U42" s="53"/>
      <c r="V42" s="53"/>
      <c r="W42" s="53"/>
      <c r="X42" s="53"/>
      <c r="Y42" s="7"/>
      <c r="Z42" s="17"/>
      <c r="AA42" s="17"/>
      <c r="AB42" s="17"/>
      <c r="AC42" s="39"/>
      <c r="AD42" s="73">
        <v>34.682699999999997</v>
      </c>
      <c r="AE42" s="74">
        <v>41.5154</v>
      </c>
      <c r="AF42" s="80">
        <v>42.988799999999998</v>
      </c>
    </row>
    <row r="43" spans="1:32" customFormat="1" x14ac:dyDescent="0.2">
      <c r="A43" s="96" t="s">
        <v>33</v>
      </c>
      <c r="B43" s="101">
        <v>22</v>
      </c>
      <c r="C43" s="23"/>
      <c r="D43" s="23"/>
      <c r="E43" s="23"/>
      <c r="F43" s="23"/>
      <c r="G43" s="55"/>
      <c r="H43" s="56"/>
      <c r="I43" s="41">
        <f t="shared" si="0"/>
        <v>0</v>
      </c>
      <c r="J43" s="7"/>
      <c r="K43" s="67"/>
      <c r="L43" s="68"/>
      <c r="M43" s="68"/>
      <c r="N43" s="68"/>
      <c r="O43" s="68"/>
      <c r="P43" s="76"/>
      <c r="Q43" s="41">
        <f t="shared" si="1"/>
        <v>0</v>
      </c>
      <c r="R43" s="39"/>
      <c r="S43" s="46" t="e">
        <f>bdrate(C43:C46,D43:D46,K43:K46,L43:L46)</f>
        <v>#VALUE!</v>
      </c>
      <c r="T43" s="47" t="e">
        <f>bdrate(C43:C46,E43:E46,K43:K46,M43:M46)</f>
        <v>#VALUE!</v>
      </c>
      <c r="U43" s="47" t="e">
        <f>bdrate(C43:C46,F43:F46,K43:K46,N43:N46)</f>
        <v>#VALUE!</v>
      </c>
      <c r="V43" s="47" t="e">
        <f>bdrateOld(C43:C46,D43:D46,K43:K46,L43:L46)</f>
        <v>#VALUE!</v>
      </c>
      <c r="W43" s="47" t="e">
        <f>bdrateOld(C43:C46,E43:E46,K43:K46,M43:M46)</f>
        <v>#VALUE!</v>
      </c>
      <c r="X43" s="47" t="e">
        <f>bdrateOld(C43:C46,F43:F46,K43:K46,N43:N46)</f>
        <v>#VALUE!</v>
      </c>
      <c r="Y43" s="7"/>
      <c r="Z43" s="23"/>
      <c r="AA43" s="23"/>
      <c r="AB43" s="23"/>
      <c r="AC43" s="39"/>
      <c r="AD43" s="67">
        <v>46.135399999999997</v>
      </c>
      <c r="AE43" s="68">
        <v>47.096699999999998</v>
      </c>
      <c r="AF43" s="76">
        <v>47.898299999999999</v>
      </c>
    </row>
    <row r="44" spans="1:32" customFormat="1" x14ac:dyDescent="0.2">
      <c r="A44" s="96"/>
      <c r="B44" s="100">
        <v>27</v>
      </c>
      <c r="C44" s="12"/>
      <c r="D44" s="12"/>
      <c r="E44" s="12"/>
      <c r="F44" s="12"/>
      <c r="G44" s="57"/>
      <c r="H44" s="58"/>
      <c r="I44" s="41">
        <f t="shared" si="0"/>
        <v>0</v>
      </c>
      <c r="J44" s="7"/>
      <c r="K44" s="67"/>
      <c r="L44" s="68"/>
      <c r="M44" s="68"/>
      <c r="N44" s="68"/>
      <c r="O44" s="68"/>
      <c r="P44" s="76"/>
      <c r="Q44" s="41">
        <f t="shared" si="1"/>
        <v>0</v>
      </c>
      <c r="R44" s="39"/>
      <c r="S44" s="46"/>
      <c r="T44" s="47"/>
      <c r="U44" s="47"/>
      <c r="V44" s="47"/>
      <c r="W44" s="47"/>
      <c r="X44" s="47"/>
      <c r="Y44" s="7"/>
      <c r="Z44" s="12"/>
      <c r="AA44" s="12"/>
      <c r="AB44" s="12"/>
      <c r="AC44" s="39"/>
      <c r="AD44" s="67">
        <v>42.312600000000003</v>
      </c>
      <c r="AE44" s="68">
        <v>43.445999999999998</v>
      </c>
      <c r="AF44" s="76">
        <v>44.680999999999997</v>
      </c>
    </row>
    <row r="45" spans="1:32" customFormat="1" x14ac:dyDescent="0.2">
      <c r="A45" s="96"/>
      <c r="B45" s="100">
        <v>32</v>
      </c>
      <c r="C45" s="12"/>
      <c r="D45" s="12"/>
      <c r="E45" s="12"/>
      <c r="F45" s="12"/>
      <c r="G45" s="57"/>
      <c r="H45" s="58"/>
      <c r="I45" s="41">
        <f t="shared" si="0"/>
        <v>0</v>
      </c>
      <c r="J45" s="7"/>
      <c r="K45" s="67"/>
      <c r="L45" s="68"/>
      <c r="M45" s="68"/>
      <c r="N45" s="68"/>
      <c r="O45" s="68"/>
      <c r="P45" s="76"/>
      <c r="Q45" s="41">
        <f t="shared" si="1"/>
        <v>0</v>
      </c>
      <c r="R45" s="39"/>
      <c r="S45" s="46"/>
      <c r="T45" s="47"/>
      <c r="U45" s="47"/>
      <c r="V45" s="47"/>
      <c r="W45" s="47"/>
      <c r="X45" s="47"/>
      <c r="Y45" s="7"/>
      <c r="Z45" s="12"/>
      <c r="AA45" s="12"/>
      <c r="AB45" s="12"/>
      <c r="AC45" s="39"/>
      <c r="AD45" s="67">
        <v>38.389000000000003</v>
      </c>
      <c r="AE45" s="68">
        <v>40.928699999999999</v>
      </c>
      <c r="AF45" s="76">
        <v>42.594499999999996</v>
      </c>
    </row>
    <row r="46" spans="1:32" customFormat="1" ht="17" thickBot="1" x14ac:dyDescent="0.25">
      <c r="A46" s="95"/>
      <c r="B46" s="102">
        <v>37</v>
      </c>
      <c r="C46" s="13"/>
      <c r="D46" s="13"/>
      <c r="E46" s="13"/>
      <c r="F46" s="13"/>
      <c r="G46" s="59"/>
      <c r="H46" s="60"/>
      <c r="I46" s="43">
        <f t="shared" si="0"/>
        <v>0</v>
      </c>
      <c r="J46" s="7"/>
      <c r="K46" s="67"/>
      <c r="L46" s="68"/>
      <c r="M46" s="68"/>
      <c r="N46" s="68"/>
      <c r="O46" s="68"/>
      <c r="P46" s="76"/>
      <c r="Q46" s="41">
        <f t="shared" si="1"/>
        <v>0</v>
      </c>
      <c r="R46" s="39"/>
      <c r="S46" s="46"/>
      <c r="T46" s="47"/>
      <c r="U46" s="47"/>
      <c r="V46" s="47"/>
      <c r="W46" s="47"/>
      <c r="X46" s="47"/>
      <c r="Y46" s="7"/>
      <c r="Z46" s="13"/>
      <c r="AA46" s="13"/>
      <c r="AB46" s="13"/>
      <c r="AC46" s="39"/>
      <c r="AD46" s="67">
        <v>34.405500000000004</v>
      </c>
      <c r="AE46" s="68">
        <v>39.359200000000001</v>
      </c>
      <c r="AF46" s="76">
        <v>41.330399999999997</v>
      </c>
    </row>
    <row r="47" spans="1:32" customFormat="1" x14ac:dyDescent="0.2">
      <c r="A47" s="36" t="s">
        <v>34</v>
      </c>
      <c r="B47" s="100">
        <v>22</v>
      </c>
      <c r="C47" s="23"/>
      <c r="D47" s="23"/>
      <c r="E47" s="23"/>
      <c r="F47" s="23"/>
      <c r="G47" s="55"/>
      <c r="H47" s="56"/>
      <c r="I47" s="41">
        <f t="shared" si="0"/>
        <v>0</v>
      </c>
      <c r="J47" s="7"/>
      <c r="K47" s="65"/>
      <c r="L47" s="66"/>
      <c r="M47" s="66"/>
      <c r="N47" s="66"/>
      <c r="O47" s="66"/>
      <c r="P47" s="75"/>
      <c r="Q47" s="40">
        <f t="shared" si="1"/>
        <v>0</v>
      </c>
      <c r="R47" s="39"/>
      <c r="S47" s="44" t="e">
        <f>bdrate(C47:C50,D47:D50,K47:K50,L47:L50)</f>
        <v>#VALUE!</v>
      </c>
      <c r="T47" s="45" t="e">
        <f>bdrate(C47:C50,E47:E50,K47:K50,M47:M50)</f>
        <v>#VALUE!</v>
      </c>
      <c r="U47" s="45" t="e">
        <f>bdrate(C47:C50,F47:F50,K47:K50,N47:N50)</f>
        <v>#VALUE!</v>
      </c>
      <c r="V47" s="45" t="e">
        <f>bdrateOld(C47:C50,D47:D50,K47:K50,L47:L50)</f>
        <v>#VALUE!</v>
      </c>
      <c r="W47" s="45" t="e">
        <f>bdrateOld(C47:C50,E47:E50,K47:K50,M47:M50)</f>
        <v>#VALUE!</v>
      </c>
      <c r="X47" s="45" t="e">
        <f>bdrateOld(C47:C50,F47:F50,K47:K50,N47:N50)</f>
        <v>#VALUE!</v>
      </c>
      <c r="Y47" s="7"/>
      <c r="Z47" s="23"/>
      <c r="AA47" s="23"/>
      <c r="AB47" s="23"/>
      <c r="AC47" s="39"/>
      <c r="AD47" s="65">
        <v>40.514200000000002</v>
      </c>
      <c r="AE47" s="66">
        <v>44.233400000000003</v>
      </c>
      <c r="AF47" s="75">
        <v>44.040500000000002</v>
      </c>
    </row>
    <row r="48" spans="1:32" customFormat="1" x14ac:dyDescent="0.2">
      <c r="A48" s="20"/>
      <c r="B48" s="100">
        <v>27</v>
      </c>
      <c r="C48" s="12"/>
      <c r="D48" s="12"/>
      <c r="E48" s="12"/>
      <c r="F48" s="12"/>
      <c r="G48" s="57"/>
      <c r="H48" s="58"/>
      <c r="I48" s="41">
        <f t="shared" si="0"/>
        <v>0</v>
      </c>
      <c r="J48" s="7"/>
      <c r="K48" s="67"/>
      <c r="L48" s="68"/>
      <c r="M48" s="68"/>
      <c r="N48" s="68"/>
      <c r="O48" s="68"/>
      <c r="P48" s="76"/>
      <c r="Q48" s="41">
        <f t="shared" si="1"/>
        <v>0</v>
      </c>
      <c r="R48" s="39"/>
      <c r="S48" s="46"/>
      <c r="T48" s="47"/>
      <c r="U48" s="47"/>
      <c r="V48" s="47"/>
      <c r="W48" s="47"/>
      <c r="X48" s="47"/>
      <c r="Y48" s="7"/>
      <c r="Z48" s="12"/>
      <c r="AA48" s="12"/>
      <c r="AB48" s="12"/>
      <c r="AC48" s="39"/>
      <c r="AD48" s="67">
        <v>37.076999999999998</v>
      </c>
      <c r="AE48" s="68">
        <v>41.733800000000002</v>
      </c>
      <c r="AF48" s="76">
        <v>41.708599999999997</v>
      </c>
    </row>
    <row r="49" spans="1:72" x14ac:dyDescent="0.2">
      <c r="A49" s="20"/>
      <c r="B49" s="100">
        <v>32</v>
      </c>
      <c r="C49" s="12"/>
      <c r="D49" s="12"/>
      <c r="E49" s="12"/>
      <c r="F49" s="12"/>
      <c r="G49" s="57"/>
      <c r="H49" s="58"/>
      <c r="I49" s="41">
        <f t="shared" si="0"/>
        <v>0</v>
      </c>
      <c r="J49" s="7"/>
      <c r="K49" s="67"/>
      <c r="L49" s="68"/>
      <c r="M49" s="68"/>
      <c r="N49" s="68"/>
      <c r="O49" s="68"/>
      <c r="P49" s="76"/>
      <c r="Q49" s="41">
        <f t="shared" si="1"/>
        <v>0</v>
      </c>
      <c r="R49" s="39"/>
      <c r="S49" s="46"/>
      <c r="T49" s="47"/>
      <c r="U49" s="47"/>
      <c r="V49" s="47"/>
      <c r="W49" s="47"/>
      <c r="X49" s="47"/>
      <c r="Y49" s="7"/>
      <c r="Z49" s="12"/>
      <c r="AA49" s="12"/>
      <c r="AB49" s="12"/>
      <c r="AC49" s="39"/>
      <c r="AD49" s="67">
        <v>34.445500000000003</v>
      </c>
      <c r="AE49" s="68">
        <v>39.712600000000002</v>
      </c>
      <c r="AF49" s="76">
        <v>39.944600000000001</v>
      </c>
    </row>
    <row r="50" spans="1:72" ht="17" thickBot="1" x14ac:dyDescent="0.25">
      <c r="A50" s="21"/>
      <c r="B50" s="102">
        <v>37</v>
      </c>
      <c r="C50" s="17"/>
      <c r="D50" s="17"/>
      <c r="E50" s="17"/>
      <c r="F50" s="17"/>
      <c r="G50" s="63"/>
      <c r="H50" s="64"/>
      <c r="I50" s="43">
        <f t="shared" si="0"/>
        <v>0</v>
      </c>
      <c r="J50" s="7"/>
      <c r="K50" s="73"/>
      <c r="L50" s="74"/>
      <c r="M50" s="74"/>
      <c r="N50" s="74"/>
      <c r="O50" s="74"/>
      <c r="P50" s="80"/>
      <c r="Q50" s="43">
        <f t="shared" si="1"/>
        <v>0</v>
      </c>
      <c r="R50" s="39"/>
      <c r="S50" s="52"/>
      <c r="T50" s="53"/>
      <c r="U50" s="53"/>
      <c r="V50" s="53"/>
      <c r="W50" s="53"/>
      <c r="X50" s="53"/>
      <c r="Y50" s="7"/>
      <c r="Z50" s="17"/>
      <c r="AA50" s="17"/>
      <c r="AB50" s="17"/>
      <c r="AC50" s="39"/>
      <c r="AD50" s="73">
        <v>32.201900000000002</v>
      </c>
      <c r="AE50" s="74">
        <v>38.193899999999999</v>
      </c>
      <c r="AF50" s="80">
        <v>38.670699999999997</v>
      </c>
    </row>
    <row r="51" spans="1:72" x14ac:dyDescent="0.2">
      <c r="A51" s="18"/>
      <c r="B51" s="37"/>
      <c r="C51" s="23"/>
      <c r="D51" s="23"/>
      <c r="E51" s="23"/>
      <c r="F51" s="23"/>
      <c r="G51" s="55"/>
      <c r="H51" s="56"/>
      <c r="I51" s="41">
        <f t="shared" si="0"/>
        <v>0</v>
      </c>
      <c r="J51" s="7"/>
      <c r="K51" s="67"/>
      <c r="L51" s="68"/>
      <c r="M51" s="68"/>
      <c r="N51" s="68"/>
      <c r="O51" s="68"/>
      <c r="P51" s="76"/>
      <c r="Q51" s="41">
        <f t="shared" si="1"/>
        <v>0</v>
      </c>
      <c r="R51" s="39"/>
      <c r="S51" s="44" t="e">
        <f>bdrate(C51:C54,D51:D54,K51:K54,L51:L54)</f>
        <v>#VALUE!</v>
      </c>
      <c r="T51" s="45" t="e">
        <f>bdrate(C51:C54,E51:E54,K51:K54,M51:M54)</f>
        <v>#VALUE!</v>
      </c>
      <c r="U51" s="45" t="e">
        <f>bdrate(C51:C54,F51:F54,K51:K54,N51:N54)</f>
        <v>#VALUE!</v>
      </c>
      <c r="V51" s="45" t="e">
        <f>bdrateOld(C51:C54,D51:D54,K51:K54,L51:L54)</f>
        <v>#VALUE!</v>
      </c>
      <c r="W51" s="45" t="e">
        <f>bdrateOld(C51:C54,E51:E54,K51:K54,M51:M54)</f>
        <v>#VALUE!</v>
      </c>
      <c r="X51" s="45" t="e">
        <f>bdrateOld(C51:C54,F51:F54,K51:K54,N51:N54)</f>
        <v>#VALUE!</v>
      </c>
      <c r="Y51" s="7"/>
      <c r="Z51" s="83"/>
      <c r="AA51" s="23"/>
      <c r="AB51" s="84"/>
      <c r="AC51" s="39"/>
      <c r="AD51" s="65">
        <v>42.9756</v>
      </c>
      <c r="AE51" s="66">
        <v>45.860700000000001</v>
      </c>
      <c r="AF51" s="75">
        <v>45.983499999999999</v>
      </c>
    </row>
    <row r="52" spans="1:72" x14ac:dyDescent="0.2">
      <c r="A52" s="19"/>
      <c r="B52" s="103"/>
      <c r="C52" s="12"/>
      <c r="D52" s="12"/>
      <c r="E52" s="12"/>
      <c r="F52" s="12"/>
      <c r="G52" s="57"/>
      <c r="H52" s="58"/>
      <c r="I52" s="41">
        <f t="shared" si="0"/>
        <v>0</v>
      </c>
      <c r="J52" s="7"/>
      <c r="K52" s="67"/>
      <c r="L52" s="68"/>
      <c r="M52" s="68"/>
      <c r="N52" s="68"/>
      <c r="O52" s="68"/>
      <c r="P52" s="76"/>
      <c r="Q52" s="41">
        <f t="shared" si="1"/>
        <v>0</v>
      </c>
      <c r="R52" s="39"/>
      <c r="S52" s="46"/>
      <c r="T52" s="47"/>
      <c r="U52" s="47"/>
      <c r="V52" s="47"/>
      <c r="W52" s="47"/>
      <c r="X52" s="47"/>
      <c r="Y52" s="7"/>
      <c r="Z52" s="85"/>
      <c r="AA52" s="12"/>
      <c r="AB52" s="86"/>
      <c r="AC52" s="39"/>
      <c r="AD52" s="67">
        <v>39.003599999999999</v>
      </c>
      <c r="AE52" s="68">
        <v>43.113500000000002</v>
      </c>
      <c r="AF52" s="76">
        <v>42.946800000000003</v>
      </c>
    </row>
    <row r="53" spans="1:72" x14ac:dyDescent="0.2">
      <c r="A53" s="19"/>
      <c r="B53" s="103"/>
      <c r="C53" s="12"/>
      <c r="D53" s="12"/>
      <c r="E53" s="12"/>
      <c r="F53" s="12"/>
      <c r="G53" s="57"/>
      <c r="H53" s="58"/>
      <c r="I53" s="41">
        <f t="shared" si="0"/>
        <v>0</v>
      </c>
      <c r="J53" s="7"/>
      <c r="K53" s="67"/>
      <c r="L53" s="68"/>
      <c r="M53" s="68"/>
      <c r="N53" s="68"/>
      <c r="O53" s="68"/>
      <c r="P53" s="76"/>
      <c r="Q53" s="41">
        <f t="shared" si="1"/>
        <v>0</v>
      </c>
      <c r="R53" s="39"/>
      <c r="S53" s="46"/>
      <c r="T53" s="47"/>
      <c r="U53" s="47"/>
      <c r="V53" s="47"/>
      <c r="W53" s="47"/>
      <c r="X53" s="47"/>
      <c r="Y53" s="7"/>
      <c r="Z53" s="85"/>
      <c r="AA53" s="12"/>
      <c r="AB53" s="86"/>
      <c r="AC53" s="39"/>
      <c r="AD53" s="67">
        <v>35.379899999999999</v>
      </c>
      <c r="AE53" s="68">
        <v>40.9253</v>
      </c>
      <c r="AF53" s="76">
        <v>40.5824</v>
      </c>
    </row>
    <row r="54" spans="1:72" ht="17" thickBot="1" x14ac:dyDescent="0.25">
      <c r="A54" s="22"/>
      <c r="B54" s="104"/>
      <c r="C54" s="17"/>
      <c r="D54" s="17"/>
      <c r="E54" s="17"/>
      <c r="F54" s="17"/>
      <c r="G54" s="63"/>
      <c r="H54" s="64"/>
      <c r="I54" s="43">
        <f t="shared" si="0"/>
        <v>0</v>
      </c>
      <c r="J54" s="8"/>
      <c r="K54" s="73"/>
      <c r="L54" s="74"/>
      <c r="M54" s="74"/>
      <c r="N54" s="74"/>
      <c r="O54" s="74"/>
      <c r="P54" s="80"/>
      <c r="Q54" s="43">
        <f t="shared" si="1"/>
        <v>0</v>
      </c>
      <c r="R54" s="39"/>
      <c r="S54" s="52"/>
      <c r="T54" s="53"/>
      <c r="U54" s="53"/>
      <c r="V54" s="53"/>
      <c r="W54" s="53"/>
      <c r="X54" s="53"/>
      <c r="Y54" s="7"/>
      <c r="Z54" s="87"/>
      <c r="AA54" s="17"/>
      <c r="AB54" s="88"/>
      <c r="AC54" s="39"/>
      <c r="AD54" s="73">
        <v>32.150700000000001</v>
      </c>
      <c r="AE54" s="74">
        <v>39.2697</v>
      </c>
      <c r="AF54" s="80">
        <v>38.531399999999998</v>
      </c>
    </row>
    <row r="55" spans="1:72" x14ac:dyDescent="0.2">
      <c r="A55" s="2" t="e">
        <f>#REF!</f>
        <v>#REF!</v>
      </c>
      <c r="B55" s="105"/>
      <c r="C55" s="3"/>
      <c r="D55" s="3"/>
      <c r="E55" s="3"/>
      <c r="F55" s="3"/>
      <c r="G55" s="3"/>
      <c r="H55" s="33" t="e">
        <f>geometricMean(H3:H34)</f>
        <v>#VALUE!</v>
      </c>
      <c r="I55" s="28" t="e">
        <f>geometricMean(I3:I34)</f>
        <v>#VALUE!</v>
      </c>
      <c r="J55" s="3"/>
      <c r="K55" s="3"/>
      <c r="L55" s="3"/>
      <c r="M55" s="3"/>
      <c r="N55" s="3"/>
      <c r="O55" s="3"/>
      <c r="P55" s="33" t="e">
        <f>geometricMean(P3:P34)</f>
        <v>#VALUE!</v>
      </c>
      <c r="Q55" s="28" t="e">
        <f>geometricMean(Q3:Q34)</f>
        <v>#VALUE!</v>
      </c>
      <c r="S55" s="46" t="e">
        <f t="shared" ref="S55:X55" si="2">AVERAGE(S3:S34)</f>
        <v>#VALUE!</v>
      </c>
      <c r="T55" s="46" t="e">
        <f t="shared" si="2"/>
        <v>#VALUE!</v>
      </c>
      <c r="U55" s="46" t="e">
        <f t="shared" si="2"/>
        <v>#VALUE!</v>
      </c>
      <c r="V55" s="46" t="e">
        <f t="shared" si="2"/>
        <v>#VALUE!</v>
      </c>
      <c r="W55" s="46" t="e">
        <f t="shared" si="2"/>
        <v>#VALUE!</v>
      </c>
      <c r="X55" s="46" t="e">
        <f t="shared" si="2"/>
        <v>#VALUE!</v>
      </c>
      <c r="Y55" s="3"/>
      <c r="Z55" s="3"/>
      <c r="AA55" s="3"/>
      <c r="AB55" s="3"/>
      <c r="AD55" s="3"/>
      <c r="AE55" s="3"/>
      <c r="AF55" s="3"/>
    </row>
    <row r="56" spans="1:72" x14ac:dyDescent="0.2">
      <c r="A56" s="2" t="e">
        <f>#REF!</f>
        <v>#REF!</v>
      </c>
      <c r="B56" s="105"/>
      <c r="C56" s="3"/>
      <c r="D56" s="3"/>
      <c r="E56" s="3"/>
      <c r="F56" s="3"/>
      <c r="G56" s="3"/>
      <c r="H56" s="34" t="e">
        <f>geometricMean(H35:H46)</f>
        <v>#VALUE!</v>
      </c>
      <c r="I56" s="26" t="e">
        <f>geometricMean(I35:I46)</f>
        <v>#VALUE!</v>
      </c>
      <c r="J56" s="3"/>
      <c r="K56" s="3"/>
      <c r="L56" s="3"/>
      <c r="M56" s="3"/>
      <c r="N56" s="3"/>
      <c r="O56" s="3"/>
      <c r="P56" s="34" t="e">
        <f>geometricMean(P35:P46)</f>
        <v>#VALUE!</v>
      </c>
      <c r="Q56" s="26" t="e">
        <f>geometricMean(Q35:Q46)</f>
        <v>#VALUE!</v>
      </c>
      <c r="S56" s="46" t="e">
        <f t="shared" ref="S56:X56" si="3">AVERAGE(S35:S46)</f>
        <v>#VALUE!</v>
      </c>
      <c r="T56" s="46" t="e">
        <f t="shared" si="3"/>
        <v>#VALUE!</v>
      </c>
      <c r="U56" s="46" t="e">
        <f t="shared" si="3"/>
        <v>#VALUE!</v>
      </c>
      <c r="V56" s="46" t="e">
        <f t="shared" si="3"/>
        <v>#VALUE!</v>
      </c>
      <c r="W56" s="46" t="e">
        <f t="shared" si="3"/>
        <v>#VALUE!</v>
      </c>
      <c r="X56" s="46" t="e">
        <f t="shared" si="3"/>
        <v>#VALUE!</v>
      </c>
      <c r="Y56" s="3"/>
      <c r="Z56" s="3"/>
      <c r="AA56" s="3"/>
      <c r="AB56" s="3"/>
      <c r="AD56" s="3"/>
      <c r="AE56" s="3"/>
      <c r="AF56" s="3"/>
    </row>
    <row r="57" spans="1:72" ht="17" thickBot="1" x14ac:dyDescent="0.25">
      <c r="A57" s="2" t="e">
        <f>#REF!</f>
        <v>#REF!</v>
      </c>
      <c r="B57" s="105"/>
      <c r="C57" s="3"/>
      <c r="D57" s="3"/>
      <c r="E57" s="3"/>
      <c r="F57" s="3"/>
      <c r="G57" s="3"/>
      <c r="H57" s="35" t="e">
        <f>geometricMean(H47:H54)</f>
        <v>#VALUE!</v>
      </c>
      <c r="I57" s="27" t="e">
        <f>geometricMean(I47:I54)</f>
        <v>#VALUE!</v>
      </c>
      <c r="J57" s="3"/>
      <c r="K57" s="3"/>
      <c r="L57" s="3"/>
      <c r="M57" s="3"/>
      <c r="N57" s="3"/>
      <c r="O57" s="3"/>
      <c r="P57" s="35" t="e">
        <f>geometricMean(P47:P54)</f>
        <v>#VALUE!</v>
      </c>
      <c r="Q57" s="27" t="e">
        <f>geometricMean(Q47:Q54)</f>
        <v>#VALUE!</v>
      </c>
      <c r="R57" s="3"/>
      <c r="S57" s="46" t="e">
        <f t="shared" ref="S57:X57" si="4">AVERAGE(S47:S54)</f>
        <v>#VALUE!</v>
      </c>
      <c r="T57" s="46" t="e">
        <f t="shared" si="4"/>
        <v>#VALUE!</v>
      </c>
      <c r="U57" s="46" t="e">
        <f t="shared" si="4"/>
        <v>#VALUE!</v>
      </c>
      <c r="V57" s="46" t="e">
        <f t="shared" si="4"/>
        <v>#VALUE!</v>
      </c>
      <c r="W57" s="46" t="e">
        <f t="shared" si="4"/>
        <v>#VALUE!</v>
      </c>
      <c r="X57" s="46" t="e">
        <f t="shared" si="4"/>
        <v>#VALUE!</v>
      </c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</row>
    <row r="58" spans="1:72" ht="17" thickBot="1" x14ac:dyDescent="0.25">
      <c r="A58" s="6" t="s">
        <v>1</v>
      </c>
      <c r="B58" s="105"/>
      <c r="C58" s="3"/>
      <c r="D58" s="3"/>
      <c r="E58" s="3"/>
      <c r="F58" s="3"/>
      <c r="G58" s="3"/>
      <c r="H58" s="3"/>
      <c r="I58" s="7"/>
      <c r="J58" s="3"/>
      <c r="K58" s="3"/>
      <c r="L58" s="3"/>
      <c r="M58" s="3"/>
      <c r="N58" s="3"/>
      <c r="O58" s="3"/>
      <c r="P58" s="3"/>
      <c r="Q58" s="7"/>
      <c r="S58" s="52" t="e">
        <f t="shared" ref="S58:X58" si="5">AVERAGE(S3:S54)</f>
        <v>#VALUE!</v>
      </c>
      <c r="T58" s="52" t="e">
        <f t="shared" si="5"/>
        <v>#VALUE!</v>
      </c>
      <c r="U58" s="52" t="e">
        <f t="shared" si="5"/>
        <v>#VALUE!</v>
      </c>
      <c r="V58" s="52" t="e">
        <f t="shared" si="5"/>
        <v>#VALUE!</v>
      </c>
      <c r="W58" s="52" t="e">
        <f t="shared" si="5"/>
        <v>#VALUE!</v>
      </c>
      <c r="X58" s="52" t="e">
        <f t="shared" si="5"/>
        <v>#VALUE!</v>
      </c>
      <c r="Y58" s="3"/>
      <c r="Z58" s="3"/>
      <c r="AA58" s="3"/>
      <c r="AB58" s="3"/>
      <c r="AC58" s="3"/>
      <c r="AD58" s="3"/>
      <c r="AE58" s="3"/>
      <c r="AF58" s="3"/>
    </row>
    <row r="59" spans="1:72" x14ac:dyDescent="0.2">
      <c r="A59" s="7" t="s">
        <v>2</v>
      </c>
      <c r="B59" s="10"/>
      <c r="C59" s="15"/>
      <c r="D59" s="15"/>
      <c r="E59" s="15"/>
      <c r="F59" s="15"/>
      <c r="G59" s="15"/>
      <c r="H59" s="33" t="e">
        <f>geometricMean(H3:H54)</f>
        <v>#VALUE!</v>
      </c>
      <c r="I59" s="28" t="e">
        <f>geometricMean(I3:I54)</f>
        <v>#VALUE!</v>
      </c>
      <c r="J59" s="15"/>
      <c r="K59" s="15"/>
      <c r="L59" s="15"/>
      <c r="M59" s="15"/>
      <c r="N59" s="15"/>
      <c r="O59" s="15"/>
      <c r="P59" s="33" t="e">
        <f>geometricMean(P3:P54)</f>
        <v>#VALUE!</v>
      </c>
      <c r="Q59" s="28" t="e">
        <f>geometricMean(Q3:Q54)</f>
        <v>#VALUE!</v>
      </c>
      <c r="Y59" s="3"/>
      <c r="Z59" s="3"/>
      <c r="AA59" s="3"/>
      <c r="AB59" s="3"/>
      <c r="AC59" s="3"/>
      <c r="AD59" s="3"/>
      <c r="AE59" s="3"/>
      <c r="AF59" s="3"/>
    </row>
    <row r="60" spans="1:72" ht="17" thickBot="1" x14ac:dyDescent="0.25">
      <c r="A60" s="8" t="s">
        <v>3</v>
      </c>
      <c r="B60" s="106"/>
      <c r="C60" s="4"/>
      <c r="D60" s="4"/>
      <c r="E60" s="4"/>
      <c r="F60" s="4"/>
      <c r="G60" s="4"/>
      <c r="H60" s="35">
        <f>secToHours(macroSum(H3:H54))</f>
        <v>0</v>
      </c>
      <c r="I60" s="27">
        <f>SUM(I3:I54)</f>
        <v>0</v>
      </c>
      <c r="J60" s="4"/>
      <c r="K60" s="4"/>
      <c r="L60" s="4"/>
      <c r="M60" s="4"/>
      <c r="N60" s="4"/>
      <c r="O60" s="4"/>
      <c r="P60" s="35">
        <f>secToHours(macroSum(P3:P54))</f>
        <v>0</v>
      </c>
      <c r="Q60" s="27">
        <f>SUM(Q3:Q54)</f>
        <v>0</v>
      </c>
      <c r="Y60" s="3"/>
      <c r="Z60" s="3"/>
      <c r="AA60" s="3"/>
      <c r="AB60" s="3"/>
      <c r="AC60" s="3"/>
      <c r="AD60" s="3"/>
      <c r="AE60" s="3"/>
      <c r="AF60" s="3"/>
    </row>
    <row r="61" spans="1:72" x14ac:dyDescent="0.2">
      <c r="O61" s="9" t="e">
        <f>SUM(O3:O46)/SUM(G3:G46)</f>
        <v>#DIV/0!</v>
      </c>
    </row>
    <row r="63" spans="1:72" x14ac:dyDescent="0.2">
      <c r="B63" s="114" t="s">
        <v>10</v>
      </c>
      <c r="C63" s="115"/>
      <c r="H63" s="9"/>
    </row>
    <row r="64" spans="1:72" ht="17" thickBot="1" x14ac:dyDescent="0.25">
      <c r="B64" s="89" t="s">
        <v>11</v>
      </c>
      <c r="C64" s="90" t="s">
        <v>12</v>
      </c>
    </row>
    <row r="65" spans="1:24" customFormat="1" x14ac:dyDescent="0.2">
      <c r="A65" s="28" t="e">
        <f>#REF!</f>
        <v>#REF!</v>
      </c>
      <c r="B65" s="108" t="e">
        <f t="shared" ref="B65:C67" si="6">P55/H55</f>
        <v>#VALUE!</v>
      </c>
      <c r="C65" s="29" t="e">
        <f t="shared" si="6"/>
        <v>#VALUE!</v>
      </c>
      <c r="D65" s="9"/>
      <c r="E65" s="9"/>
      <c r="F65" s="9"/>
      <c r="G65" s="9"/>
      <c r="H65" s="1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</row>
    <row r="66" spans="1:24" customFormat="1" x14ac:dyDescent="0.2">
      <c r="A66" s="26" t="e">
        <f>#REF!</f>
        <v>#REF!</v>
      </c>
      <c r="B66" s="109" t="e">
        <f t="shared" si="6"/>
        <v>#VALUE!</v>
      </c>
      <c r="C66" s="24" t="e">
        <f t="shared" si="6"/>
        <v>#VALUE!</v>
      </c>
      <c r="D66" s="9"/>
      <c r="E66" s="9"/>
      <c r="F66" s="9"/>
      <c r="G66" s="9"/>
      <c r="H66" s="1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</row>
    <row r="67" spans="1:24" customFormat="1" x14ac:dyDescent="0.2">
      <c r="A67" s="26" t="e">
        <f>#REF!</f>
        <v>#REF!</v>
      </c>
      <c r="B67" s="109" t="e">
        <f t="shared" si="6"/>
        <v>#VALUE!</v>
      </c>
      <c r="C67" s="24" t="e">
        <f t="shared" si="6"/>
        <v>#VALUE!</v>
      </c>
      <c r="D67" s="9"/>
      <c r="E67" s="9"/>
      <c r="F67" s="9"/>
      <c r="G67" s="9"/>
      <c r="H67" s="1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</row>
    <row r="68" spans="1:24" customFormat="1" ht="17" thickBot="1" x14ac:dyDescent="0.25">
      <c r="A68" s="27" t="s">
        <v>1</v>
      </c>
      <c r="B68" s="110" t="e">
        <f>P59/H59</f>
        <v>#VALUE!</v>
      </c>
      <c r="C68" s="25" t="e">
        <f>Q59/I59</f>
        <v>#VALUE!</v>
      </c>
      <c r="D68" s="9"/>
      <c r="E68" s="9"/>
      <c r="F68" s="9"/>
      <c r="G68" s="9"/>
      <c r="H68" s="1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</row>
    <row r="70" spans="1:24" customFormat="1" x14ac:dyDescent="0.2">
      <c r="A70" s="3"/>
      <c r="B70" s="107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</row>
    <row r="71" spans="1:24" customFormat="1" x14ac:dyDescent="0.2">
      <c r="A71" s="3"/>
      <c r="B71" s="107"/>
      <c r="C71" s="9"/>
      <c r="D71" s="9"/>
      <c r="E71" s="9"/>
      <c r="F71" s="9"/>
      <c r="G71" s="1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</row>
    <row r="72" spans="1:24" customFormat="1" x14ac:dyDescent="0.2">
      <c r="A72" s="9"/>
      <c r="B72" s="107"/>
      <c r="C72" s="9"/>
      <c r="D72" s="9"/>
      <c r="E72" s="9"/>
      <c r="F72" s="9"/>
      <c r="G72" s="1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</row>
    <row r="77" spans="1:24" customFormat="1" x14ac:dyDescent="0.2">
      <c r="A77" s="9"/>
      <c r="B77" s="107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3"/>
      <c r="T77" s="3"/>
      <c r="U77" s="3"/>
      <c r="V77" s="3"/>
      <c r="W77" s="3"/>
      <c r="X77" s="3"/>
    </row>
    <row r="78" spans="1:24" customFormat="1" x14ac:dyDescent="0.2">
      <c r="A78" s="9"/>
      <c r="B78" s="107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3"/>
      <c r="T78" s="3"/>
      <c r="U78" s="3"/>
      <c r="V78" s="3"/>
      <c r="W78" s="3"/>
      <c r="X78" s="3"/>
    </row>
    <row r="79" spans="1:24" customFormat="1" x14ac:dyDescent="0.2">
      <c r="A79" s="9"/>
      <c r="B79" s="107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5"/>
      <c r="T79" s="5"/>
      <c r="U79" s="5"/>
      <c r="V79" s="5"/>
      <c r="W79" s="5"/>
      <c r="X79" s="5"/>
    </row>
    <row r="80" spans="1:24" customFormat="1" x14ac:dyDescent="0.2">
      <c r="A80" s="9"/>
      <c r="B80" s="107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3"/>
      <c r="T80" s="3"/>
      <c r="U80" s="3"/>
      <c r="V80" s="3"/>
      <c r="W80" s="9"/>
      <c r="X80" s="9"/>
    </row>
    <row r="81" spans="2:24" customFormat="1" x14ac:dyDescent="0.2">
      <c r="B81" s="111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3"/>
      <c r="T81" s="3"/>
      <c r="U81" s="3"/>
      <c r="V81" s="3"/>
      <c r="W81" s="9"/>
      <c r="X81" s="9"/>
    </row>
    <row r="82" spans="2:24" customFormat="1" x14ac:dyDescent="0.2">
      <c r="B82" s="111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5"/>
      <c r="T82" s="5"/>
      <c r="U82" s="5"/>
      <c r="V82" s="5"/>
      <c r="W82" s="9"/>
      <c r="X82" s="9"/>
    </row>
    <row r="83" spans="2:24" customFormat="1" x14ac:dyDescent="0.2">
      <c r="B83" s="111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5"/>
      <c r="T83" s="5"/>
      <c r="U83" s="5"/>
      <c r="V83" s="5"/>
      <c r="W83" s="9"/>
      <c r="X83" s="9"/>
    </row>
    <row r="84" spans="2:24" customFormat="1" x14ac:dyDescent="0.2">
      <c r="B84" s="111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3"/>
      <c r="T84" s="3"/>
      <c r="U84" s="3"/>
      <c r="V84" s="3"/>
      <c r="W84" s="9"/>
      <c r="X84" s="9"/>
    </row>
    <row r="85" spans="2:24" customFormat="1" x14ac:dyDescent="0.2">
      <c r="B85" s="111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3"/>
      <c r="T85" s="3"/>
      <c r="U85" s="3"/>
      <c r="V85" s="3"/>
      <c r="W85" s="9"/>
      <c r="X85" s="9"/>
    </row>
    <row r="86" spans="2:24" customFormat="1" x14ac:dyDescent="0.2">
      <c r="B86" s="111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3"/>
      <c r="T86" s="3"/>
      <c r="U86" s="3"/>
      <c r="V86" s="3"/>
      <c r="W86" s="9"/>
      <c r="X86" s="9"/>
    </row>
    <row r="87" spans="2:24" customFormat="1" x14ac:dyDescent="0.2">
      <c r="B87" s="111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3"/>
      <c r="T87" s="3"/>
      <c r="U87" s="3"/>
      <c r="V87" s="3"/>
      <c r="W87" s="3"/>
      <c r="X87" s="3"/>
    </row>
    <row r="88" spans="2:24" customFormat="1" x14ac:dyDescent="0.2">
      <c r="B88" s="111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3"/>
      <c r="T88" s="3"/>
      <c r="U88" s="3"/>
      <c r="V88" s="3"/>
      <c r="W88" s="3"/>
      <c r="X88" s="3"/>
    </row>
    <row r="89" spans="2:24" customFormat="1" x14ac:dyDescent="0.2">
      <c r="B89" s="111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3"/>
      <c r="T89" s="3"/>
      <c r="U89" s="3"/>
      <c r="V89" s="3"/>
      <c r="W89" s="3"/>
      <c r="X89" s="3"/>
    </row>
    <row r="90" spans="2:24" customFormat="1" x14ac:dyDescent="0.2">
      <c r="B90" s="111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5"/>
      <c r="T90" s="5"/>
      <c r="U90" s="5"/>
      <c r="V90" s="5"/>
      <c r="W90" s="5"/>
      <c r="X90" s="5"/>
    </row>
  </sheetData>
  <mergeCells count="7">
    <mergeCell ref="Z1:AB1"/>
    <mergeCell ref="AD1:AF1"/>
    <mergeCell ref="B63:C63"/>
    <mergeCell ref="C1:I1"/>
    <mergeCell ref="K1:Q1"/>
    <mergeCell ref="S1:U1"/>
    <mergeCell ref="V1:X1"/>
  </mergeCells>
  <conditionalFormatting sqref="Z3:AB54">
    <cfRule type="expression" dxfId="7" priority="5" stopIfTrue="1">
      <formula>D3&lt;Z3</formula>
    </cfRule>
    <cfRule type="expression" dxfId="6" priority="6">
      <formula>D3-Z3&gt;0.5</formula>
    </cfRule>
  </conditionalFormatting>
  <conditionalFormatting sqref="AD3:AF54">
    <cfRule type="expression" dxfId="5" priority="7" stopIfTrue="1">
      <formula>L3&lt;AD3</formula>
    </cfRule>
    <cfRule type="expression" dxfId="4" priority="8">
      <formula>L3-AD3&gt;0.5</formula>
    </cfRule>
  </conditionalFormatting>
  <conditionalFormatting sqref="Z3:AB54">
    <cfRule type="expression" dxfId="3" priority="3" stopIfTrue="1">
      <formula>D3&lt;Z3</formula>
    </cfRule>
    <cfRule type="expression" dxfId="2" priority="4">
      <formula>D3-Z3&gt;0.5</formula>
    </cfRule>
  </conditionalFormatting>
  <conditionalFormatting sqref="AD3:AF54">
    <cfRule type="expression" dxfId="1" priority="1" stopIfTrue="1">
      <formula>L3&lt;AD3</formula>
    </cfRule>
    <cfRule type="expression" dxfId="0" priority="2">
      <formula>L3-AD3&gt;0.5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rdoq=0 vs rdoq=1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matteon</dc:creator>
  <cp:lastModifiedBy>Microsoft Office User</cp:lastModifiedBy>
  <dcterms:created xsi:type="dcterms:W3CDTF">2011-06-30T00:09:01Z</dcterms:created>
  <dcterms:modified xsi:type="dcterms:W3CDTF">2018-12-16T20:50:57Z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_new_ms_pID_72543">
    <vt:lpwstr>(3)dqag0nMLLLT6fz3h8HVuvrv1s/2XHY/kKZD1c0F6N2BD+O6ZVpL9K0Vx5+7a/PjVzid5ju00_x000d_
/5LONZjQwuP8Y53TSDiPotaqvEcLryZRYLqIuDzZY5H+Y9+ZmjdqY8r+zk1eVeQzBJ69ELGX_x000d_
OlmdhMz+mZaAq610N0EcvbbolA+cbLzWFCsqChIReK5TEg6leLw1jfe36b0iXuBp+Lng2IeX_x000d_
SIjVjsjEX7qWvGYJWZ</vt:lpwstr>
  </property>
  <property fmtid="{D5CDD505-2E9C-101B-9397-08002B2CF9AE}" pid="4" name="_new_ms_pID_725431">
    <vt:lpwstr>MTDks3U+MU4Wd8tsDP12/6qMlEgwn1BTAdNNTzUcVZv0XrdO+Y/hEo_x000d_
q5BcuHxiI1Yi9AdgUYlbBGFC6d6cS/+qb80eFVQJipjzy+bw3elaXz6NLLazLQnNYwxYWf5o_x000d_
Qrt6K61LqVKXCFjV9sNRwx+zgdV49QjFqJI/DI+mKwFPsUsa7v13Dn7rH2JgaZXVl51yuWVO_x000d_
vcL5dx5ttVac/gHpNwITPTQmfe0m4oHDX7u7</vt:lpwstr>
  </property>
  <property fmtid="{D5CDD505-2E9C-101B-9397-08002B2CF9AE}" pid="5" name="_new_ms_pID_725432">
    <vt:lpwstr>T+55nXK/S+vkYMidquP6a+6CBRQeyLmiRt98_x000d_
ZvLYsRIt</vt:lpwstr>
  </property>
  <property fmtid="{D5CDD505-2E9C-101B-9397-08002B2CF9AE}" pid="6" name="sflag">
    <vt:lpwstr>1434496535</vt:lpwstr>
  </property>
  <property fmtid="{D5CDD505-2E9C-101B-9397-08002B2CF9AE}" pid="7" name="_AdHocReviewCycleID">
    <vt:i4>-1855295002</vt:i4>
  </property>
  <property fmtid="{D5CDD505-2E9C-101B-9397-08002B2CF9AE}" pid="8" name="_EmailSubject">
    <vt:lpwstr>anchor results of SMC-5.1</vt:lpwstr>
  </property>
  <property fmtid="{D5CDD505-2E9C-101B-9397-08002B2CF9AE}" pid="9" name="_AuthorEmail">
    <vt:lpwstr>krapaka@qti.qualcomm.com</vt:lpwstr>
  </property>
  <property fmtid="{D5CDD505-2E9C-101B-9397-08002B2CF9AE}" pid="10" name="_AuthorEmailDisplayName">
    <vt:lpwstr>Rapaka, Krishna</vt:lpwstr>
  </property>
</Properties>
</file>